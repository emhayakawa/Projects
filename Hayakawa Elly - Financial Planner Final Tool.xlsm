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231" codeName="{E757BCB4-07E6-AE0B-56E0-F0EEF7A6E26C}"/>
  <workbookPr codeName="ThisWorkbook"/>
  <mc:AlternateContent xmlns:mc="http://schemas.openxmlformats.org/markup-compatibility/2006">
    <mc:Choice Requires="x15">
      <x15ac:absPath xmlns:x15ac="http://schemas.microsoft.com/office/spreadsheetml/2010/11/ac" url="https://uofwaterloo-my.sharepoint.com/personal/ehayakaw_uwaterloo_ca/Documents/MSCI100/"/>
    </mc:Choice>
  </mc:AlternateContent>
  <xr:revisionPtr revIDLastSave="0" documentId="14_{D628C9C2-6EFB-4D7E-A16B-D202CA7B39F8}" xr6:coauthVersionLast="47" xr6:coauthVersionMax="47" xr10:uidLastSave="{00000000-0000-0000-0000-000000000000}"/>
  <bookViews>
    <workbookView xWindow="1305" yWindow="0" windowWidth="13118" windowHeight="13080" activeTab="1" xr2:uid="{00000000-000D-0000-FFFF-FFFF00000000}"/>
  </bookViews>
  <sheets>
    <sheet name="Welcome" sheetId="5" r:id="rId1"/>
    <sheet name="Goals" sheetId="4" r:id="rId2"/>
    <sheet name="Expenses&amp;Incomes" sheetId="1" r:id="rId3"/>
    <sheet name="My Finances" sheetId="6" r:id="rId4"/>
    <sheet name="Financial Advice" sheetId="3" r:id="rId5"/>
    <sheet name="Hidden" sheetId="7" r:id="rId6"/>
  </sheets>
  <functionGroups builtInGroupCount="19"/>
  <definedNames>
    <definedName name="_xlnm._FilterDatabase" localSheetId="2" hidden="1">'Expenses&amp;Incomes'!$A$1:$G$2</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5" i="7" l="1"/>
  <c r="C3" i="7" l="1"/>
  <c r="C4" i="7"/>
  <c r="C5" i="7"/>
  <c r="C6" i="7"/>
  <c r="C7" i="7"/>
  <c r="A3" i="7"/>
  <c r="A4" i="7"/>
  <c r="A5" i="7"/>
  <c r="A6" i="7"/>
  <c r="A7" i="7"/>
  <c r="A8" i="7"/>
  <c r="B3" i="7"/>
  <c r="B4" i="7"/>
  <c r="B5" i="7"/>
  <c r="B6" i="7"/>
  <c r="B7" i="7"/>
  <c r="B8" i="7"/>
  <c r="E21" i="4"/>
  <c r="I7" i="6"/>
  <c r="C8" i="7" l="1"/>
</calcChain>
</file>

<file path=xl/sharedStrings.xml><?xml version="1.0" encoding="utf-8"?>
<sst xmlns="http://schemas.openxmlformats.org/spreadsheetml/2006/main" count="100" uniqueCount="68">
  <si>
    <t>Date</t>
  </si>
  <si>
    <t>Item</t>
  </si>
  <si>
    <t>Category</t>
  </si>
  <si>
    <t>Description</t>
  </si>
  <si>
    <t>Financial Advice</t>
  </si>
  <si>
    <t>Price</t>
  </si>
  <si>
    <t>Account</t>
  </si>
  <si>
    <t>Jump to any of the following sheets by clicking the buttons!</t>
  </si>
  <si>
    <t>Budget Breakdown</t>
  </si>
  <si>
    <t>Income</t>
  </si>
  <si>
    <t>Co-op Salary</t>
  </si>
  <si>
    <t>Financial Aid From Family</t>
  </si>
  <si>
    <t>Other Deposits</t>
  </si>
  <si>
    <t>Expenses</t>
  </si>
  <si>
    <t>Most Recent Input</t>
  </si>
  <si>
    <t>Groceries/Food</t>
  </si>
  <si>
    <t>Tuition</t>
  </si>
  <si>
    <t>Rent</t>
  </si>
  <si>
    <t>Monthly Bills</t>
  </si>
  <si>
    <t>Clothes and Necessities</t>
  </si>
  <si>
    <t>Entertainment</t>
  </si>
  <si>
    <t>Other</t>
  </si>
  <si>
    <t>Chequing Account</t>
  </si>
  <si>
    <t>WatCard</t>
  </si>
  <si>
    <t>Savings Account</t>
  </si>
  <si>
    <t>Current Account Balance</t>
  </si>
  <si>
    <t>Weekly Spending</t>
  </si>
  <si>
    <t>Your Weekly Spending Goal:</t>
  </si>
  <si>
    <t>Expense or Income</t>
  </si>
  <si>
    <t>Today's Date:</t>
  </si>
  <si>
    <t>Total Expenses</t>
  </si>
  <si>
    <t>Total Income (Per Account)</t>
  </si>
  <si>
    <t>Total (Per Category)</t>
  </si>
  <si>
    <t>One Week Ago's Date</t>
  </si>
  <si>
    <t>Initial Account Balance</t>
  </si>
  <si>
    <t>Amount Spent</t>
  </si>
  <si>
    <t>Start by clicking the "Goal Setting" button below to set personal budgeting goals!</t>
  </si>
  <si>
    <t>1. Getting Started:</t>
  </si>
  <si>
    <t>2. Things to Consider</t>
  </si>
  <si>
    <t>Amount</t>
  </si>
  <si>
    <t>3. Your Goals</t>
  </si>
  <si>
    <t xml:space="preserve">Please note that if spending goals are not specified for each category, the recommended amount will automatically be inputted into your goals (seen right). </t>
  </si>
  <si>
    <t>(Depends on Program)</t>
  </si>
  <si>
    <t>Total</t>
  </si>
  <si>
    <t>Weekly Spending Limits ($)</t>
  </si>
  <si>
    <t>How to Get Started:</t>
  </si>
  <si>
    <t>1. Set Up Your Accounts</t>
  </si>
  <si>
    <t xml:space="preserve">Add initial account balances to your Chequing Account, WatCard, and Savings Account using the form shown at right. Note that if you do not have one of these accounts, you must enter a value of "0" to submit the form. </t>
  </si>
  <si>
    <t>2. Set Your Goals</t>
  </si>
  <si>
    <t xml:space="preserve">Set your goals by jumping to the "Goals" page using the buttons shown to the right. </t>
  </si>
  <si>
    <t>3. Start Adding Expenses and Income</t>
  </si>
  <si>
    <t>Jump to "Expenses and Income" page to add entries of what you have bought and earned.</t>
  </si>
  <si>
    <t>Tuition and Rent costs will be calculated by semester and will depend on each student</t>
  </si>
  <si>
    <t>Note: Groceries/Food will vary based on if the student has a meal plan</t>
  </si>
  <si>
    <t xml:space="preserve">Per Term </t>
  </si>
  <si>
    <t>Expenses and Income</t>
  </si>
  <si>
    <t>Hidden Data</t>
  </si>
  <si>
    <t>Goal</t>
  </si>
  <si>
    <t>Status of Goals</t>
  </si>
  <si>
    <t>Month</t>
  </si>
  <si>
    <t>for the past 3 months</t>
  </si>
  <si>
    <t>Welcome To BudgetNow!</t>
  </si>
  <si>
    <t xml:space="preserve">BudgetNow is a financial tool built for university students navigating the difficult transition of becoming an independent adult. It supports students by setting budgeting goals, tracking their expenses and income, and giving them personalized financial advice. </t>
  </si>
  <si>
    <t xml:space="preserve">4. Analyze a Condense Version of Your Finances </t>
  </si>
  <si>
    <t xml:space="preserve">Jump to "My Finances" page to look at a breakdown of your income, expenses and net balance. </t>
  </si>
  <si>
    <t>5. Get Financial Advice</t>
  </si>
  <si>
    <t xml:space="preserve">Jump to "Financial Advice" page to get valuable feedback! You can find general tips to manage your finances as well as personalized advice based on your finances. </t>
  </si>
  <si>
    <r>
      <t xml:space="preserve">Below are some recommended </t>
    </r>
    <r>
      <rPr>
        <b/>
        <sz val="14"/>
        <color theme="9"/>
        <rFont val="Centaur"/>
        <family val="1"/>
      </rPr>
      <t>weekly</t>
    </r>
    <r>
      <rPr>
        <sz val="14"/>
        <color theme="1"/>
        <rFont val="Centaur"/>
        <family val="1"/>
      </rPr>
      <t xml:space="preserve"> spending goals for university students based on an article from Maclean's.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</si>
</sst>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6" formatCode="&quot;$&quot;#,##0_);[Red]\(&quot;$&quot;#,##0\)"/>
    <numFmt numFmtId="7" formatCode="&quot;$&quot;#,##0.00_);\(&quot;$&quot;#,##0.00\)"/>
    <numFmt numFmtId="44" formatCode="_(&quot;$&quot;* #,##0.00_);_(&quot;$&quot;* \(#,##0.00\);_(&quot;$&quot;* &quot;-&quot;??_);_(@_)"/>
    <numFmt numFmtId="164" formatCode="yyyy\-mm\-dd;@"/>
    <numFmt numFmtId="165" formatCode="&quot;$&quot;#,##0.00"/>
  </numFmts>
  <fonts count="26" x14ac:knownFonts="1">
    <font>
      <sz val="11"/>
      <color theme="1"/>
      <name val="Calibri"/>
      <family val="2"/>
      <scheme val="minor"/>
    </font>
    <font>
      <sz val="11"/>
      <color theme="0"/>
      <name val="Calibri"/>
      <family val="2"/>
      <scheme val="minor"/>
    </font>
    <font>
      <sz val="11"/>
      <color rgb="FF000000"/>
      <name val="Calibri"/>
      <family val="2"/>
    </font>
    <font>
      <sz val="11"/>
      <color theme="1"/>
      <name val="Calibri"/>
      <family val="2"/>
      <scheme val="minor"/>
    </font>
    <font>
      <sz val="11"/>
      <color theme="1"/>
      <name val="Centaur"/>
      <family val="1"/>
    </font>
    <font>
      <u/>
      <sz val="11"/>
      <color theme="10"/>
      <name val="Calibri"/>
      <family val="2"/>
      <scheme val="minor"/>
    </font>
    <font>
      <sz val="12"/>
      <color theme="1"/>
      <name val="Centaur"/>
      <family val="1"/>
    </font>
    <font>
      <b/>
      <sz val="18"/>
      <color theme="1"/>
      <name val="Centaur"/>
      <family val="1"/>
    </font>
    <font>
      <sz val="14"/>
      <color theme="0"/>
      <name val="Centaur"/>
      <family val="1"/>
    </font>
    <font>
      <sz val="14"/>
      <color theme="1"/>
      <name val="Centaur"/>
      <family val="1"/>
    </font>
    <font>
      <sz val="14"/>
      <name val="Centaur"/>
      <family val="1"/>
    </font>
    <font>
      <sz val="12"/>
      <color theme="0"/>
      <name val="Centaur"/>
      <family val="1"/>
    </font>
    <font>
      <sz val="14"/>
      <color rgb="FFFF0000"/>
      <name val="Centaur"/>
      <family val="1"/>
    </font>
    <font>
      <sz val="14"/>
      <color rgb="FF000000"/>
      <name val="Centaur"/>
      <family val="1"/>
    </font>
    <font>
      <b/>
      <sz val="14"/>
      <color theme="1"/>
      <name val="Centaur"/>
      <family val="1"/>
    </font>
    <font>
      <sz val="11.5"/>
      <color theme="1"/>
      <name val="Centaur"/>
      <family val="1"/>
    </font>
    <font>
      <b/>
      <sz val="14"/>
      <color theme="9"/>
      <name val="Centaur"/>
      <family val="1"/>
    </font>
    <font>
      <sz val="11"/>
      <color rgb="FFFF0000"/>
      <name val="Centaur"/>
      <family val="1"/>
    </font>
    <font>
      <sz val="11"/>
      <color rgb="FF000000"/>
      <name val="Centaur"/>
      <family val="1"/>
    </font>
    <font>
      <u/>
      <sz val="11"/>
      <color theme="10"/>
      <name val="Centaur"/>
      <family val="1"/>
    </font>
    <font>
      <b/>
      <sz val="12"/>
      <color theme="1"/>
      <name val="Centaur"/>
      <family val="1"/>
    </font>
    <font>
      <sz val="11.6"/>
      <color theme="1"/>
      <name val="Centaur"/>
      <family val="1"/>
    </font>
    <font>
      <b/>
      <sz val="14"/>
      <name val="Centaur"/>
      <family val="1"/>
    </font>
    <font>
      <sz val="13"/>
      <color rgb="FFFF0000"/>
      <name val="Centaur"/>
      <family val="1"/>
    </font>
    <font>
      <sz val="8"/>
      <name val="Calibri"/>
      <family val="2"/>
      <scheme val="minor"/>
    </font>
    <font>
      <sz val="11"/>
      <name val="Calibri"/>
      <family val="2"/>
      <scheme val="minor"/>
    </font>
  </fonts>
  <fills count="16">
    <fill>
      <patternFill patternType="none"/>
    </fill>
    <fill>
      <patternFill patternType="gray125"/>
    </fill>
    <fill>
      <patternFill patternType="solid">
        <fgColor theme="8"/>
      </patternFill>
    </fill>
    <fill>
      <patternFill patternType="solid">
        <fgColor rgb="FF00A44A"/>
        <bgColor indexed="64"/>
      </patternFill>
    </fill>
    <fill>
      <patternFill patternType="solid">
        <fgColor rgb="FFFE531E"/>
        <bgColor indexed="64"/>
      </patternFill>
    </fill>
    <fill>
      <patternFill patternType="solid">
        <fgColor theme="9" tint="0.79998168889431442"/>
        <bgColor indexed="64"/>
      </patternFill>
    </fill>
    <fill>
      <patternFill patternType="solid">
        <fgColor rgb="FFFFD3C5"/>
        <bgColor indexed="64"/>
      </patternFill>
    </fill>
    <fill>
      <patternFill patternType="solid">
        <fgColor theme="9" tint="0.39997558519241921"/>
        <bgColor indexed="64"/>
      </patternFill>
    </fill>
    <fill>
      <patternFill patternType="solid">
        <fgColor rgb="FFFFA589"/>
        <bgColor indexed="64"/>
      </patternFill>
    </fill>
    <fill>
      <patternFill patternType="solid">
        <fgColor rgb="FF3483CA"/>
        <bgColor indexed="64"/>
      </patternFill>
    </fill>
    <fill>
      <patternFill patternType="solid">
        <fgColor rgb="FFF9FBFD"/>
        <bgColor indexed="64"/>
      </patternFill>
    </fill>
    <fill>
      <patternFill patternType="solid">
        <fgColor rgb="FFECF4FA"/>
        <bgColor indexed="64"/>
      </patternFill>
    </fill>
    <fill>
      <patternFill patternType="solid">
        <fgColor rgb="FFFFFF00"/>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rgb="FFFFFFFF"/>
        <bgColor indexed="64"/>
      </patternFill>
    </fill>
  </fills>
  <borders count="13">
    <border>
      <left/>
      <right/>
      <top/>
      <bottom/>
      <diagonal/>
    </border>
    <border>
      <left style="thin">
        <color rgb="FFB2B2B2"/>
      </left>
      <right style="thin">
        <color rgb="FFB2B2B2"/>
      </right>
      <top style="thin">
        <color rgb="FFB2B2B2"/>
      </top>
      <bottom style="thin">
        <color rgb="FFB2B2B2"/>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4">
    <xf numFmtId="0" fontId="0" fillId="0" borderId="0"/>
    <xf numFmtId="0" fontId="1" fillId="2" borderId="0" applyNumberFormat="0" applyBorder="0" applyAlignment="0" applyProtection="0"/>
    <xf numFmtId="44" fontId="3" fillId="0" borderId="0" applyFont="0" applyFill="0" applyBorder="0" applyAlignment="0" applyProtection="0"/>
    <xf numFmtId="0" fontId="5" fillId="0" borderId="0" applyNumberFormat="0" applyFill="0" applyBorder="0" applyAlignment="0" applyProtection="0"/>
  </cellStyleXfs>
  <cellXfs count="120">
    <xf numFmtId="0" fontId="0" fillId="0" borderId="0" xfId="0"/>
    <xf numFmtId="0" fontId="4" fillId="0" borderId="0" xfId="0" applyFont="1"/>
    <xf numFmtId="0" fontId="6" fillId="0" borderId="0" xfId="0" applyFont="1"/>
    <xf numFmtId="14" fontId="4" fillId="0" borderId="0" xfId="0" applyNumberFormat="1" applyFont="1"/>
    <xf numFmtId="0" fontId="4" fillId="0" borderId="8" xfId="0" applyFont="1" applyBorder="1"/>
    <xf numFmtId="0" fontId="4" fillId="0" borderId="9" xfId="0" applyFont="1" applyBorder="1"/>
    <xf numFmtId="0" fontId="9" fillId="0" borderId="2" xfId="0" applyFont="1" applyBorder="1"/>
    <xf numFmtId="7" fontId="9" fillId="0" borderId="2" xfId="2" applyNumberFormat="1" applyFont="1" applyBorder="1"/>
    <xf numFmtId="44" fontId="9" fillId="0" borderId="2" xfId="2" applyFont="1" applyBorder="1"/>
    <xf numFmtId="7" fontId="9" fillId="5" borderId="2" xfId="2" applyNumberFormat="1" applyFont="1" applyFill="1" applyBorder="1"/>
    <xf numFmtId="44" fontId="9" fillId="5" borderId="2" xfId="2" applyFont="1" applyFill="1" applyBorder="1"/>
    <xf numFmtId="0" fontId="9" fillId="5" borderId="2" xfId="0" applyFont="1" applyFill="1" applyBorder="1"/>
    <xf numFmtId="7" fontId="9" fillId="7" borderId="2" xfId="2" applyNumberFormat="1" applyFont="1" applyFill="1" applyBorder="1"/>
    <xf numFmtId="0" fontId="9" fillId="0" borderId="8" xfId="0" applyFont="1" applyBorder="1"/>
    <xf numFmtId="0" fontId="9" fillId="0" borderId="0" xfId="0" applyFont="1"/>
    <xf numFmtId="0" fontId="9" fillId="0" borderId="9" xfId="0" applyFont="1" applyBorder="1"/>
    <xf numFmtId="44" fontId="9" fillId="6" borderId="2" xfId="2" applyFont="1" applyFill="1" applyBorder="1"/>
    <xf numFmtId="44" fontId="9" fillId="0" borderId="0" xfId="2" applyFont="1" applyBorder="1"/>
    <xf numFmtId="0" fontId="8" fillId="3" borderId="2" xfId="0" applyFont="1" applyFill="1" applyBorder="1"/>
    <xf numFmtId="0" fontId="8" fillId="4" borderId="2" xfId="0" applyFont="1" applyFill="1" applyBorder="1"/>
    <xf numFmtId="44" fontId="10" fillId="0" borderId="2" xfId="2" applyFont="1" applyFill="1" applyBorder="1"/>
    <xf numFmtId="7" fontId="10" fillId="0" borderId="2" xfId="2" applyNumberFormat="1" applyFont="1" applyFill="1" applyBorder="1"/>
    <xf numFmtId="44" fontId="9" fillId="0" borderId="0" xfId="2" applyFont="1" applyFill="1" applyBorder="1"/>
    <xf numFmtId="14" fontId="9" fillId="0" borderId="0" xfId="0" applyNumberFormat="1" applyFont="1"/>
    <xf numFmtId="164" fontId="6" fillId="0" borderId="0" xfId="0" applyNumberFormat="1" applyFont="1"/>
    <xf numFmtId="44" fontId="6" fillId="0" borderId="0" xfId="2" applyFont="1"/>
    <xf numFmtId="0" fontId="10" fillId="0" borderId="2" xfId="0" applyFont="1" applyBorder="1"/>
    <xf numFmtId="7" fontId="10" fillId="0" borderId="2" xfId="0" applyNumberFormat="1" applyFont="1" applyBorder="1"/>
    <xf numFmtId="0" fontId="9" fillId="10" borderId="0" xfId="0" applyFont="1" applyFill="1"/>
    <xf numFmtId="0" fontId="9" fillId="10" borderId="11" xfId="0" applyFont="1" applyFill="1" applyBorder="1"/>
    <xf numFmtId="0" fontId="6" fillId="10" borderId="3" xfId="0" applyFont="1" applyFill="1" applyBorder="1" applyAlignment="1">
      <alignment horizontal="left"/>
    </xf>
    <xf numFmtId="0" fontId="6" fillId="10" borderId="4" xfId="0" applyFont="1" applyFill="1" applyBorder="1" applyAlignment="1">
      <alignment horizontal="left"/>
    </xf>
    <xf numFmtId="0" fontId="17" fillId="10" borderId="0" xfId="0" applyFont="1" applyFill="1"/>
    <xf numFmtId="0" fontId="12" fillId="10" borderId="0" xfId="0" applyFont="1" applyFill="1"/>
    <xf numFmtId="0" fontId="10" fillId="0" borderId="0" xfId="0" applyFont="1"/>
    <xf numFmtId="7" fontId="10" fillId="0" borderId="0" xfId="0" applyNumberFormat="1" applyFont="1"/>
    <xf numFmtId="165" fontId="9" fillId="6" borderId="2" xfId="2" applyNumberFormat="1" applyFont="1" applyFill="1" applyBorder="1"/>
    <xf numFmtId="165" fontId="9" fillId="0" borderId="2" xfId="2" applyNumberFormat="1" applyFont="1" applyBorder="1"/>
    <xf numFmtId="165" fontId="9" fillId="8" borderId="2" xfId="2" applyNumberFormat="1" applyFont="1" applyFill="1" applyBorder="1"/>
    <xf numFmtId="0" fontId="9" fillId="0" borderId="2" xfId="0" applyFont="1" applyBorder="1" applyAlignment="1">
      <alignment horizontal="left"/>
    </xf>
    <xf numFmtId="0" fontId="4" fillId="10" borderId="0" xfId="0" applyFont="1" applyFill="1"/>
    <xf numFmtId="7" fontId="4" fillId="0" borderId="0" xfId="0" applyNumberFormat="1" applyFont="1"/>
    <xf numFmtId="7" fontId="6" fillId="0" borderId="0" xfId="2" applyNumberFormat="1" applyFont="1"/>
    <xf numFmtId="7" fontId="22" fillId="12" borderId="2" xfId="2" applyNumberFormat="1" applyFont="1" applyFill="1" applyBorder="1"/>
    <xf numFmtId="0" fontId="11" fillId="13" borderId="1" xfId="1" applyFont="1" applyFill="1" applyBorder="1"/>
    <xf numFmtId="44" fontId="11" fillId="13" borderId="1" xfId="2" applyFont="1" applyFill="1" applyBorder="1"/>
    <xf numFmtId="0" fontId="4" fillId="10" borderId="0" xfId="0" applyFont="1" applyFill="1" applyAlignment="1">
      <alignment wrapText="1"/>
    </xf>
    <xf numFmtId="0" fontId="21" fillId="10" borderId="0" xfId="0" applyFont="1" applyFill="1" applyAlignment="1">
      <alignment vertical="top" wrapText="1"/>
    </xf>
    <xf numFmtId="0" fontId="19" fillId="10" borderId="0" xfId="3" applyFont="1" applyFill="1"/>
    <xf numFmtId="0" fontId="17" fillId="0" borderId="0" xfId="0" applyFont="1"/>
    <xf numFmtId="0" fontId="4" fillId="0" borderId="0" xfId="0" applyFont="1" applyAlignment="1">
      <alignment wrapText="1"/>
    </xf>
    <xf numFmtId="0" fontId="23" fillId="15" borderId="0" xfId="0" applyFont="1" applyFill="1" applyAlignment="1">
      <alignment vertical="center"/>
    </xf>
    <xf numFmtId="0" fontId="4" fillId="15" borderId="0" xfId="0" applyFont="1" applyFill="1" applyAlignment="1">
      <alignment vertical="center"/>
    </xf>
    <xf numFmtId="0" fontId="17" fillId="15" borderId="0" xfId="0" applyFont="1" applyFill="1" applyAlignment="1">
      <alignment vertical="center"/>
    </xf>
    <xf numFmtId="7" fontId="0" fillId="0" borderId="0" xfId="0" applyNumberFormat="1"/>
    <xf numFmtId="44" fontId="0" fillId="0" borderId="0" xfId="2" applyFont="1"/>
    <xf numFmtId="44" fontId="25" fillId="0" borderId="0" xfId="2" applyFont="1"/>
    <xf numFmtId="0" fontId="20" fillId="10" borderId="0" xfId="0" applyFont="1" applyFill="1" applyAlignment="1">
      <alignment horizontal="left"/>
    </xf>
    <xf numFmtId="0" fontId="4" fillId="10" borderId="0" xfId="0" applyFont="1" applyFill="1" applyAlignment="1">
      <alignment horizontal="left"/>
    </xf>
    <xf numFmtId="0" fontId="4" fillId="10" borderId="0" xfId="0" applyFont="1" applyFill="1" applyAlignment="1">
      <alignment horizontal="left" wrapText="1"/>
    </xf>
    <xf numFmtId="0" fontId="21" fillId="10" borderId="0" xfId="0" applyFont="1" applyFill="1" applyAlignment="1">
      <alignment horizontal="left" vertical="top" wrapText="1"/>
    </xf>
    <xf numFmtId="0" fontId="6" fillId="0" borderId="0" xfId="0" applyFont="1" applyAlignment="1">
      <alignment horizontal="center"/>
    </xf>
    <xf numFmtId="0" fontId="7" fillId="11" borderId="0" xfId="0" applyFont="1" applyFill="1" applyAlignment="1">
      <alignment horizontal="center"/>
    </xf>
    <xf numFmtId="0" fontId="15" fillId="10" borderId="0" xfId="0" applyFont="1" applyFill="1" applyAlignment="1">
      <alignment horizontal="center" vertical="center" wrapText="1"/>
    </xf>
    <xf numFmtId="0" fontId="6" fillId="11" borderId="0" xfId="0" applyFont="1" applyFill="1" applyAlignment="1">
      <alignment horizontal="center"/>
    </xf>
    <xf numFmtId="0" fontId="4" fillId="10" borderId="0" xfId="0" applyFont="1" applyFill="1" applyAlignment="1">
      <alignment horizontal="center" wrapText="1"/>
    </xf>
    <xf numFmtId="44" fontId="9" fillId="10" borderId="3" xfId="2" applyFont="1" applyFill="1" applyBorder="1" applyAlignment="1">
      <alignment horizontal="center"/>
    </xf>
    <xf numFmtId="44" fontId="9" fillId="10" borderId="4" xfId="2" applyFont="1" applyFill="1" applyBorder="1" applyAlignment="1">
      <alignment horizontal="center"/>
    </xf>
    <xf numFmtId="0" fontId="9" fillId="10" borderId="2" xfId="0" applyFont="1" applyFill="1" applyBorder="1" applyAlignment="1">
      <alignment horizontal="left" vertical="center"/>
    </xf>
    <xf numFmtId="0" fontId="6" fillId="10" borderId="3" xfId="0" applyFont="1" applyFill="1" applyBorder="1" applyAlignment="1">
      <alignment horizontal="left"/>
    </xf>
    <xf numFmtId="0" fontId="6" fillId="10" borderId="4" xfId="0" applyFont="1" applyFill="1" applyBorder="1" applyAlignment="1">
      <alignment horizontal="left"/>
    </xf>
    <xf numFmtId="0" fontId="9" fillId="10" borderId="0" xfId="0" applyFont="1" applyFill="1" applyAlignment="1">
      <alignment horizontal="center" vertical="center" wrapText="1"/>
    </xf>
    <xf numFmtId="6" fontId="9" fillId="10" borderId="3" xfId="0" applyNumberFormat="1" applyFont="1" applyFill="1" applyBorder="1" applyAlignment="1">
      <alignment horizontal="center"/>
    </xf>
    <xf numFmtId="0" fontId="9" fillId="10" borderId="4" xfId="0" applyFont="1" applyFill="1" applyBorder="1" applyAlignment="1">
      <alignment horizontal="center"/>
    </xf>
    <xf numFmtId="0" fontId="6" fillId="10" borderId="6" xfId="0" applyFont="1" applyFill="1" applyBorder="1" applyAlignment="1">
      <alignment horizontal="left"/>
    </xf>
    <xf numFmtId="0" fontId="9" fillId="10" borderId="6" xfId="0" applyFont="1" applyFill="1" applyBorder="1" applyAlignment="1">
      <alignment horizontal="center"/>
    </xf>
    <xf numFmtId="0" fontId="9" fillId="10" borderId="3" xfId="0" applyFont="1" applyFill="1" applyBorder="1" applyAlignment="1">
      <alignment horizontal="center"/>
    </xf>
    <xf numFmtId="0" fontId="9" fillId="10" borderId="0" xfId="0" applyFont="1" applyFill="1" applyAlignment="1">
      <alignment horizontal="center" vertical="center"/>
    </xf>
    <xf numFmtId="165" fontId="9" fillId="10" borderId="3" xfId="2" applyNumberFormat="1" applyFont="1" applyFill="1" applyBorder="1" applyAlignment="1">
      <alignment horizontal="center"/>
    </xf>
    <xf numFmtId="165" fontId="9" fillId="10" borderId="4" xfId="2" applyNumberFormat="1" applyFont="1" applyFill="1" applyBorder="1" applyAlignment="1">
      <alignment horizontal="center"/>
    </xf>
    <xf numFmtId="0" fontId="14" fillId="14" borderId="0" xfId="0" applyFont="1" applyFill="1" applyAlignment="1">
      <alignment horizontal="center"/>
    </xf>
    <xf numFmtId="0" fontId="9" fillId="14" borderId="0" xfId="0" applyFont="1" applyFill="1" applyAlignment="1">
      <alignment horizontal="center"/>
    </xf>
    <xf numFmtId="0" fontId="6" fillId="10" borderId="0" xfId="0" applyFont="1" applyFill="1" applyAlignment="1">
      <alignment horizontal="center" vertical="center" wrapText="1"/>
    </xf>
    <xf numFmtId="0" fontId="9" fillId="10" borderId="11" xfId="0" applyFont="1" applyFill="1" applyBorder="1" applyAlignment="1">
      <alignment horizontal="center"/>
    </xf>
    <xf numFmtId="0" fontId="9" fillId="10" borderId="0" xfId="0" applyFont="1" applyFill="1" applyAlignment="1">
      <alignment horizontal="center" wrapText="1"/>
    </xf>
    <xf numFmtId="0" fontId="6" fillId="10" borderId="0" xfId="0" applyFont="1" applyFill="1" applyAlignment="1">
      <alignment horizontal="center" vertical="center"/>
    </xf>
    <xf numFmtId="0" fontId="9" fillId="10" borderId="0" xfId="0" applyFont="1" applyFill="1" applyAlignment="1">
      <alignment horizontal="center"/>
    </xf>
    <xf numFmtId="0" fontId="4" fillId="10" borderId="0" xfId="0" applyFont="1" applyFill="1"/>
    <xf numFmtId="0" fontId="5" fillId="10" borderId="0" xfId="3" applyFill="1" applyAlignment="1">
      <alignment horizontal="center"/>
    </xf>
    <xf numFmtId="6" fontId="15" fillId="10" borderId="3" xfId="0" applyNumberFormat="1" applyFont="1" applyFill="1" applyBorder="1"/>
    <xf numFmtId="0" fontId="15" fillId="10" borderId="4" xfId="0" applyFont="1" applyFill="1" applyBorder="1"/>
    <xf numFmtId="0" fontId="4" fillId="10" borderId="3" xfId="0" applyFont="1" applyFill="1" applyBorder="1" applyAlignment="1">
      <alignment horizontal="center"/>
    </xf>
    <xf numFmtId="0" fontId="4" fillId="10" borderId="4" xfId="0" applyFont="1" applyFill="1" applyBorder="1" applyAlignment="1">
      <alignment horizontal="center"/>
    </xf>
    <xf numFmtId="0" fontId="9" fillId="0" borderId="2" xfId="0" applyFont="1" applyBorder="1" applyAlignment="1">
      <alignment horizontal="left"/>
    </xf>
    <xf numFmtId="0" fontId="9" fillId="0" borderId="3" xfId="0" applyFont="1" applyBorder="1" applyAlignment="1">
      <alignment horizontal="left"/>
    </xf>
    <xf numFmtId="0" fontId="9" fillId="0" borderId="4" xfId="0" applyFont="1" applyBorder="1" applyAlignment="1">
      <alignment horizontal="left"/>
    </xf>
    <xf numFmtId="0" fontId="9" fillId="0" borderId="0" xfId="0" applyFont="1" applyAlignment="1">
      <alignment horizontal="left"/>
    </xf>
    <xf numFmtId="0" fontId="8" fillId="9" borderId="2" xfId="0" applyFont="1" applyFill="1" applyBorder="1" applyAlignment="1">
      <alignment horizontal="left"/>
    </xf>
    <xf numFmtId="0" fontId="8" fillId="3" borderId="2" xfId="0" applyFont="1" applyFill="1" applyBorder="1" applyAlignment="1">
      <alignment horizontal="left"/>
    </xf>
    <xf numFmtId="0" fontId="8" fillId="4" borderId="2" xfId="0" applyFont="1" applyFill="1" applyBorder="1" applyAlignment="1">
      <alignment horizontal="left"/>
    </xf>
    <xf numFmtId="0" fontId="9" fillId="0" borderId="0" xfId="0" applyFont="1" applyAlignment="1">
      <alignment horizontal="left" vertical="center"/>
    </xf>
    <xf numFmtId="0" fontId="9" fillId="6" borderId="2" xfId="0" applyFont="1" applyFill="1" applyBorder="1" applyAlignment="1">
      <alignment horizontal="left"/>
    </xf>
    <xf numFmtId="0" fontId="9" fillId="11" borderId="2" xfId="0" applyFont="1" applyFill="1" applyBorder="1" applyAlignment="1">
      <alignment horizontal="left"/>
    </xf>
    <xf numFmtId="0" fontId="7" fillId="10" borderId="5" xfId="0" applyFont="1" applyFill="1" applyBorder="1" applyAlignment="1">
      <alignment horizontal="center" vertical="center"/>
    </xf>
    <xf numFmtId="0" fontId="7" fillId="10" borderId="6" xfId="0" applyFont="1" applyFill="1" applyBorder="1" applyAlignment="1">
      <alignment horizontal="center" vertical="center"/>
    </xf>
    <xf numFmtId="0" fontId="7" fillId="10" borderId="7" xfId="0" applyFont="1" applyFill="1" applyBorder="1" applyAlignment="1">
      <alignment horizontal="center" vertical="center"/>
    </xf>
    <xf numFmtId="0" fontId="7" fillId="10" borderId="8" xfId="0" applyFont="1" applyFill="1" applyBorder="1" applyAlignment="1">
      <alignment horizontal="center" vertical="center"/>
    </xf>
    <xf numFmtId="0" fontId="7" fillId="10" borderId="0" xfId="0" applyFont="1" applyFill="1" applyAlignment="1">
      <alignment horizontal="center" vertical="center"/>
    </xf>
    <xf numFmtId="0" fontId="7" fillId="10" borderId="9" xfId="0" applyFont="1" applyFill="1" applyBorder="1" applyAlignment="1">
      <alignment horizontal="center" vertical="center"/>
    </xf>
    <xf numFmtId="0" fontId="7" fillId="10" borderId="10" xfId="0" applyFont="1" applyFill="1" applyBorder="1" applyAlignment="1">
      <alignment horizontal="center" vertical="center"/>
    </xf>
    <xf numFmtId="0" fontId="7" fillId="10" borderId="11" xfId="0" applyFont="1" applyFill="1" applyBorder="1" applyAlignment="1">
      <alignment horizontal="center" vertical="center"/>
    </xf>
    <xf numFmtId="0" fontId="7" fillId="10" borderId="12" xfId="0" applyFont="1" applyFill="1" applyBorder="1" applyAlignment="1">
      <alignment horizontal="center" vertical="center"/>
    </xf>
    <xf numFmtId="0" fontId="9" fillId="0" borderId="3" xfId="0" applyFont="1" applyBorder="1"/>
    <xf numFmtId="0" fontId="9" fillId="0" borderId="4" xfId="0" applyFont="1" applyBorder="1"/>
    <xf numFmtId="0" fontId="9" fillId="5" borderId="3" xfId="0" applyFont="1" applyFill="1" applyBorder="1" applyAlignment="1">
      <alignment horizontal="left"/>
    </xf>
    <xf numFmtId="0" fontId="9" fillId="5" borderId="4" xfId="0" applyFont="1" applyFill="1" applyBorder="1" applyAlignment="1">
      <alignment horizontal="left"/>
    </xf>
    <xf numFmtId="0" fontId="4" fillId="0" borderId="0" xfId="0" applyFont="1" applyAlignment="1">
      <alignment horizontal="center" wrapText="1"/>
    </xf>
    <xf numFmtId="0" fontId="23" fillId="15" borderId="0" xfId="0" applyFont="1" applyFill="1" applyAlignment="1">
      <alignment horizontal="center" vertical="center" wrapText="1"/>
    </xf>
    <xf numFmtId="0" fontId="4" fillId="15" borderId="0" xfId="0" applyFont="1" applyFill="1" applyAlignment="1">
      <alignment horizontal="center" vertical="center" wrapText="1"/>
    </xf>
    <xf numFmtId="0" fontId="7" fillId="11" borderId="0" xfId="0" applyFont="1" applyFill="1" applyAlignment="1">
      <alignment horizontal="center" vertical="center"/>
    </xf>
  </cellXfs>
  <cellStyles count="4">
    <cellStyle name="Accent5" xfId="1" builtinId="45"/>
    <cellStyle name="Currency" xfId="2" builtinId="4"/>
    <cellStyle name="Hyperlink" xfId="3" builtinId="8"/>
    <cellStyle name="Normal" xfId="0" builtinId="0"/>
  </cellStyles>
  <dxfs count="5">
    <dxf>
      <numFmt numFmtId="11" formatCode="&quot;$&quot;#,##0.00_);\(&quot;$&quot;#,##0.00\)"/>
    </dxf>
    <dxf>
      <numFmt numFmtId="0" formatCode="General"/>
    </dxf>
    <dxf>
      <numFmt numFmtId="0" formatCode="General"/>
    </dxf>
    <dxf>
      <font>
        <color rgb="FFFF0000"/>
      </font>
    </dxf>
    <dxf>
      <font>
        <color rgb="FF00B050"/>
      </font>
    </dxf>
  </dxfs>
  <tableStyles count="0" defaultTableStyle="TableStyleMedium2" defaultPivotStyle="PivotStyleMedium9"/>
  <colors>
    <mruColors>
      <color rgb="FFF9FBFD"/>
      <color rgb="FFFF0000"/>
      <color rgb="FFFFA589"/>
      <color rgb="FFFED9CE"/>
      <color rgb="FFECF4FA"/>
      <color rgb="FFFFDCD1"/>
      <color rgb="FFFFD3C5"/>
      <color rgb="FF3483CA"/>
      <color rgb="FFFE531E"/>
      <color rgb="FF00A44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Centaur" panose="02030504050205020304" pitchFamily="18" charset="0"/>
                <a:ea typeface="+mn-ea"/>
                <a:cs typeface="+mn-cs"/>
              </a:defRPr>
            </a:pPr>
            <a:r>
              <a:rPr lang="en-US"/>
              <a:t>Weekly Spendings</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Centaur" panose="02030504050205020304" pitchFamily="18" charset="0"/>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'My Finances'!$I$11:$I$15</c:f>
              <c:strCache>
                <c:ptCount val="5"/>
                <c:pt idx="0">
                  <c:v>Groceries/Food</c:v>
                </c:pt>
                <c:pt idx="1">
                  <c:v>Monthly Bills</c:v>
                </c:pt>
                <c:pt idx="2">
                  <c:v>Clothes and Necessities</c:v>
                </c:pt>
                <c:pt idx="3">
                  <c:v>Entertainment</c:v>
                </c:pt>
                <c:pt idx="4">
                  <c:v>Other</c:v>
                </c:pt>
              </c:strCache>
            </c:strRef>
          </c:cat>
          <c:val>
            <c:numRef>
              <c:f>'My Finances'!$J$11:$J$15</c:f>
              <c:numCache>
                <c:formatCode>General</c:formatCode>
                <c:ptCount val="5"/>
              </c:numCache>
            </c:numRef>
          </c:val>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0-0A7E-431F-B68B-C77FA0AE1336}"/>
            </c:ext>
          </c:extLst>
        </c:ser>
        <c:ser>
          <c:idx val="1"/>
          <c:order val="1"/>
          <c:spPr>
            <a:solidFill>
              <a:schemeClr val="accent2"/>
            </a:solidFill>
            <a:ln>
              <a:noFill/>
            </a:ln>
            <a:effectLst/>
          </c:spPr>
          <c:invertIfNegative val="0"/>
          <c:cat>
            <c:strRef>
              <c:f>'My Finances'!$I$11:$I$15</c:f>
              <c:strCache>
                <c:ptCount val="5"/>
                <c:pt idx="0">
                  <c:v>Groceries/Food</c:v>
                </c:pt>
                <c:pt idx="1">
                  <c:v>Monthly Bills</c:v>
                </c:pt>
                <c:pt idx="2">
                  <c:v>Clothes and Necessities</c:v>
                </c:pt>
                <c:pt idx="3">
                  <c:v>Entertainment</c:v>
                </c:pt>
                <c:pt idx="4">
                  <c:v>Other</c:v>
                </c:pt>
              </c:strCache>
            </c:strRef>
          </c:cat>
          <c:val>
            <c:numRef>
              <c:f>'My Finances'!$K$11:$K$15</c:f>
              <c:numCache>
                <c:formatCode>"$"#,##0.00_);\("$"#,##0.00\)</c:formatCode>
                <c:ptCount val="5"/>
              </c:numCache>
            </c:numRef>
          </c:val>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2-0A7E-431F-B68B-C77FA0AE1336}"/>
            </c:ext>
          </c:extLst>
        </c:ser>
        <c:dLbls>
          <c:showLegendKey val="0"/>
          <c:showVal val="0"/>
          <c:showCatName val="0"/>
          <c:showSerName val="0"/>
          <c:showPercent val="0"/>
          <c:showBubbleSize val="0"/>
        </c:dLbls>
        <c:gapWidth val="219"/>
        <c:overlap val="-27"/>
        <c:axId val="1128076927"/>
        <c:axId val="887572911"/>
      </c:barChart>
      <c:catAx>
        <c:axId val="11280769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Centaur" panose="02030504050205020304" pitchFamily="18" charset="0"/>
                <a:ea typeface="+mn-ea"/>
                <a:cs typeface="+mn-cs"/>
              </a:defRPr>
            </a:pPr>
            <a:endParaRPr lang="en-US"/>
          </a:p>
        </c:txPr>
        <c:crossAx val="887572911"/>
        <c:crosses val="autoZero"/>
        <c:auto val="1"/>
        <c:lblAlgn val="ctr"/>
        <c:lblOffset val="100"/>
        <c:noMultiLvlLbl val="0"/>
      </c:catAx>
      <c:valAx>
        <c:axId val="88757291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Centaur" panose="02030504050205020304" pitchFamily="18" charset="0"/>
                    <a:ea typeface="+mn-ea"/>
                    <a:cs typeface="+mn-cs"/>
                  </a:defRPr>
                </a:pPr>
                <a:r>
                  <a:rPr lang="en-US"/>
                  <a:t>Amount Spent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Centaur" panose="02030504050205020304" pitchFamily="18" charset="0"/>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Centaur" panose="02030504050205020304" pitchFamily="18" charset="0"/>
                <a:ea typeface="+mn-ea"/>
                <a:cs typeface="+mn-cs"/>
              </a:defRPr>
            </a:pPr>
            <a:endParaRPr lang="en-US"/>
          </a:p>
        </c:txPr>
        <c:crossAx val="1128076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latin typeface="Centaur" panose="02030504050205020304" pitchFamily="18"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500" b="0">
                <a:latin typeface="Centaur" panose="02030504050205020304" pitchFamily="18" charset="0"/>
              </a:rPr>
              <a:t>Total Spendings per Category (All-Time)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1"/>
          <c:order val="1"/>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3A31-4B78-AA32-CEB697998F3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3A31-4B78-AA32-CEB697998F3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3A31-4B78-AA32-CEB697998F3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3A31-4B78-AA32-CEB697998F3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3A31-4B78-AA32-CEB697998F32}"/>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3A31-4B78-AA32-CEB697998F32}"/>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'My Finances'!$A$12:$A$18</c15:sqref>
                  </c15:fullRef>
                </c:ext>
              </c:extLst>
              <c:f>('My Finances'!$A$12,'My Finances'!$A$14:$A$18)</c:f>
              <c:strCache>
                <c:ptCount val="6"/>
                <c:pt idx="0">
                  <c:v>Groceries/Food</c:v>
                </c:pt>
                <c:pt idx="1">
                  <c:v>Rent</c:v>
                </c:pt>
                <c:pt idx="2">
                  <c:v>Monthly Bills</c:v>
                </c:pt>
                <c:pt idx="3">
                  <c:v>Clothes and Necessities</c:v>
                </c:pt>
                <c:pt idx="4">
                  <c:v>Entertainment</c:v>
                </c:pt>
                <c:pt idx="5">
                  <c:v>Other</c:v>
                </c:pt>
              </c:strCache>
            </c:strRef>
          </c:cat>
          <c:val>
            <c:numRef>
              <c:extLst>
                <c:ext xmlns:c15="http://schemas.microsoft.com/office/drawing/2012/chart" uri="{02D57815-91ED-43cb-92C2-25804820EDAC}">
                  <c15:fullRef>
                    <c15:sqref>'My Finances'!$G$12:$G$18</c15:sqref>
                  </c15:fullRef>
                </c:ext>
              </c:extLst>
              <c:f>('My Finances'!$G$12,'My Finances'!$G$14:$G$18)</c:f>
              <c:numCache>
                <c:formatCode>"$"#,##0.00</c:formatCode>
                <c:ptCount val="6"/>
              </c:numCache>
            </c:numRef>
          </c:val>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5="http://schemas.microsoft.com/office/drawing/2012/chart" uri="{02D57815-91ED-43cb-92C2-25804820EDAC}">
              <c15:categoryFilterExceptions>
                <c15:categoryFilterException>
                  <c15:sqref>'My Finances'!$G$13</c15:sqref>
                  <c15:spPr xmlns:c15="http://schemas.microsoft.com/office/drawing/2012/chart">
                    <a:solidFill>
                      <a:schemeClr val="accent2"/>
                    </a:solidFill>
                    <a:ln>
                      <a:noFill/>
                    </a:ln>
                    <a:effectLst>
                      <a:outerShdw blurRad="254000" sx="102000" sy="102000" algn="ctr" rotWithShape="0">
                        <a:prstClr val="black">
                          <a:alpha val="20000"/>
                        </a:prstClr>
                      </a:outerShdw>
                    </a:effectLst>
                  </c15:spPr>
                  <c15:bubble3D val="0"/>
                </c15:categoryFilterException>
              </c15:categoryFilterExceptions>
            </c:ext>
            <c:ext xmlns:c16="http://schemas.microsoft.com/office/drawing/2014/chart" uri="{C3380CC4-5D6E-409C-BE32-E72D297353CC}">
              <c16:uniqueId val="{0000000E-3A31-4B78-AA32-CEB697998F32}"/>
            </c:ext>
          </c:extLst>
        </c:ser>
        <c:dLbls>
          <c:dLblPos val="ctr"/>
          <c:showLegendKey val="0"/>
          <c:showVal val="0"/>
          <c:showCatName val="0"/>
          <c:showSerName val="0"/>
          <c:showPercent val="1"/>
          <c:showBubbleSize val="0"/>
          <c:showLeaderLines val="1"/>
        </c:dLbls>
        <c:firstSliceAng val="0"/>
        <c:extLst>
          <c:ext xmlns:c15="http://schemas.microsoft.com/office/drawing/2012/chart" uri="{02D57815-91ED-43cb-92C2-25804820EDAC}">
            <c15:filteredPieSeries>
              <c15: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0-3A31-4B78-AA32-CEB697998F3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4-3A31-4B78-AA32-CEB697998F3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6-3A31-4B78-AA32-CEB697998F3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8-3A31-4B78-AA32-CEB697998F3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A-3A31-4B78-AA32-CEB697998F32}"/>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C-3A31-4B78-AA32-CEB697998F32}"/>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uri="{CE6537A1-D6FC-4f65-9D91-7224C49458BB}"/>
                  </c:extLst>
                </c:dLbls>
                <c:cat>
                  <c:strRef>
                    <c:extLst>
                      <c:ext uri="{02D57815-91ED-43cb-92C2-25804820EDAC}">
                        <c15:fullRef>
                          <c15:sqref>'My Finances'!$A$12:$A$18</c15:sqref>
                        </c15:fullRef>
                        <c15:formulaRef>
                          <c15:sqref>('My Finances'!$A$12,'My Finances'!$A$14:$A$18)</c15:sqref>
                        </c15:formulaRef>
                      </c:ext>
                    </c:extLst>
                    <c:strCache>
                      <c:ptCount val="6"/>
                      <c:pt idx="0">
                        <c:v>Groceries/Food</c:v>
                      </c:pt>
                      <c:pt idx="1">
                        <c:v>Rent</c:v>
                      </c:pt>
                      <c:pt idx="2">
                        <c:v>Monthly Bills</c:v>
                      </c:pt>
                      <c:pt idx="3">
                        <c:v>Clothes and Necessities</c:v>
                      </c:pt>
                      <c:pt idx="4">
                        <c:v>Entertainment</c:v>
                      </c:pt>
                      <c:pt idx="5">
                        <c:v>Other</c:v>
                      </c:pt>
                    </c:strCache>
                  </c:strRef>
                </c:cat>
                <c:val>
                  <c:numRef>
                    <c:extLst>
                      <c:ext uri="{02D57815-91ED-43cb-92C2-25804820EDAC}">
                        <c15:fullRef>
                          <c15:sqref>'My Finances'!$B$12:$B$18</c15:sqref>
                        </c15:fullRef>
                        <c15:formulaRef>
                          <c15:sqref>('My Finances'!$B$12,'My Finances'!$B$14:$B$18)</c15:sqref>
                        </c15:formulaRef>
                      </c:ext>
                    </c:extLst>
                    <c:numCache>
                      <c:formatCode>General</c:formatCode>
                      <c:ptCount val="6"/>
                    </c:numCache>
                  </c:numRef>
                </c:val>
                <c:extLst>
                  <c:ext uri="{02D57815-91ED-43cb-92C2-25804820EDAC}">
                    <c15:filteredSeriesTitle>
                      <c15:tx>
                        <c:strRef>
                          <c:extLst>
                            <c:ext uri="{02D57815-91ED-43cb-92C2-25804820EDAC}">
                              <c15:formulaRef>
                                <c15:sqref> </c15:sqref>
                              </c15:formulaRef>
                            </c:ext>
                          </c:extLst>
                        </c:strRef>
                      </c15:tx>
                    </c15:filteredSeriesTitle>
                  </c:ext>
                  <c:ext uri="{02D57815-91ED-43cb-92C2-25804820EDAC}">
                    <c15:categoryFilterExceptions>
                      <c15:categoryFilterException>
                        <c15:sqref>'My Finances'!$B$13</c15:sqref>
                        <c15:spPr xmlns:c15="http://schemas.microsoft.com/office/drawing/2012/chart">
                          <a:solidFill>
                            <a:schemeClr val="accent2"/>
                          </a:solidFill>
                          <a:ln>
                            <a:noFill/>
                          </a:ln>
                          <a:effectLst>
                            <a:outerShdw blurRad="254000" sx="102000" sy="102000" algn="ctr" rotWithShape="0">
                              <a:prstClr val="black">
                                <a:alpha val="20000"/>
                              </a:prstClr>
                            </a:outerShdw>
                          </a:effectLst>
                        </c15:spPr>
                        <c15:bubble3D val="0"/>
                      </c15:categoryFilterException>
                    </c15:categoryFilterExceptions>
                  </c:ext>
                  <c:ext xmlns:c16="http://schemas.microsoft.com/office/drawing/2014/chart" uri="{C3380CC4-5D6E-409C-BE32-E72D297353CC}">
                    <c16:uniqueId val="{0000001D-3A31-4B78-AA32-CEB697998F32}"/>
                  </c:ext>
                </c:extLst>
              </c15:ser>
            </c15:filteredPieSeries>
          </c:ext>
        </c:extLst>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1100" b="0" i="0" u="none" strike="noStrike" kern="1200" baseline="0">
              <a:solidFill>
                <a:schemeClr val="dk1">
                  <a:lumMod val="75000"/>
                  <a:lumOff val="25000"/>
                </a:schemeClr>
              </a:solidFill>
              <a:latin typeface="Centaur" panose="02030504050205020304" pitchFamily="18"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0" i="0" u="none" strike="noStrike" kern="1200" spc="0" baseline="0">
                <a:solidFill>
                  <a:schemeClr val="tx1">
                    <a:lumMod val="65000"/>
                    <a:lumOff val="35000"/>
                  </a:schemeClr>
                </a:solidFill>
                <a:latin typeface="Centaur" panose="02030504050205020304" pitchFamily="18" charset="0"/>
                <a:ea typeface="+mn-ea"/>
                <a:cs typeface="+mn-cs"/>
              </a:defRPr>
            </a:pPr>
            <a:r>
              <a:rPr lang="en-US" sz="1600"/>
              <a:t>Your</a:t>
            </a:r>
            <a:r>
              <a:rPr lang="en-US" sz="1600" baseline="0"/>
              <a:t> Goals Per Week (By Category)</a:t>
            </a:r>
            <a:endParaRPr lang="en-US"/>
          </a:p>
        </c:rich>
      </c:tx>
      <c:overlay val="0"/>
      <c:spPr>
        <a:noFill/>
        <a:ln>
          <a:noFill/>
        </a:ln>
        <a:effectLst/>
      </c:spPr>
      <c:txPr>
        <a:bodyPr rot="0" spcFirstLastPara="1" vertOverflow="ellipsis" vert="horz" wrap="square" anchor="ctr" anchorCtr="1"/>
        <a:lstStyle/>
        <a:p>
          <a:pPr>
            <a:defRPr sz="1260" b="0" i="0" u="none" strike="noStrike" kern="1200" spc="0" baseline="0">
              <a:solidFill>
                <a:schemeClr val="tx1">
                  <a:lumMod val="65000"/>
                  <a:lumOff val="35000"/>
                </a:schemeClr>
              </a:solidFill>
              <a:latin typeface="Centaur" panose="02030504050205020304" pitchFamily="18" charset="0"/>
              <a:ea typeface="+mn-ea"/>
              <a:cs typeface="+mn-cs"/>
            </a:defRPr>
          </a:pPr>
          <a:endParaRPr lang="en-US"/>
        </a:p>
      </c:txPr>
    </c:title>
    <c:autoTitleDeleted val="0"/>
    <c:plotArea>
      <c:layout/>
      <c:barChart>
        <c:barDir val="col"/>
        <c:grouping val="clustered"/>
        <c:varyColors val="0"/>
        <c:ser>
          <c:idx val="1"/>
          <c:order val="1"/>
          <c:tx>
            <c:strRef>
              <c:f>Goals!$N$8</c:f>
              <c:strCache>
                <c:ptCount val="1"/>
                <c:pt idx="0">
                  <c:v>Amount</c:v>
                </c:pt>
              </c:strCache>
            </c:strRef>
          </c:tx>
          <c:spPr>
            <a:solidFill>
              <a:schemeClr val="accent2"/>
            </a:solidFill>
            <a:ln>
              <a:noFill/>
            </a:ln>
            <a:effectLst/>
          </c:spPr>
          <c:invertIfNegative val="0"/>
          <c:cat>
            <c:strRef>
              <c:f>Goals!$L$9:$L$13</c:f>
              <c:strCache>
                <c:ptCount val="5"/>
                <c:pt idx="0">
                  <c:v>Groceries/Food</c:v>
                </c:pt>
                <c:pt idx="1">
                  <c:v>Monthly Bills</c:v>
                </c:pt>
                <c:pt idx="2">
                  <c:v>Clothes and Necessities</c:v>
                </c:pt>
                <c:pt idx="3">
                  <c:v>Entertainment</c:v>
                </c:pt>
                <c:pt idx="4">
                  <c:v>Other</c:v>
                </c:pt>
              </c:strCache>
            </c:strRef>
          </c:cat>
          <c:val>
            <c:numRef>
              <c:f>Goals!$N$9:$N$13</c:f>
              <c:numCache>
                <c:formatCode>"$"#,##0.00</c:formatCode>
                <c:ptCount val="5"/>
              </c:numCache>
            </c:numRef>
          </c:val>
          <c:extLst>
            <c:ext xmlns:c16="http://schemas.microsoft.com/office/drawing/2014/chart" uri="{C3380CC4-5D6E-409C-BE32-E72D297353CC}">
              <c16:uniqueId val="{00000000-D81C-4725-B2D5-373C02764E94}"/>
            </c:ext>
          </c:extLst>
        </c:ser>
        <c:dLbls>
          <c:showLegendKey val="0"/>
          <c:showVal val="0"/>
          <c:showCatName val="0"/>
          <c:showSerName val="0"/>
          <c:showPercent val="0"/>
          <c:showBubbleSize val="0"/>
        </c:dLbls>
        <c:gapWidth val="219"/>
        <c:overlap val="-27"/>
        <c:axId val="265901632"/>
        <c:axId val="2067572336"/>
        <c:extLst>
          <c:ext xmlns:c15="http://schemas.microsoft.com/office/drawing/2012/chart" uri="{02D57815-91ED-43cb-92C2-25804820EDAC}">
            <c15:filteredBarSeries>
              <c15:ser>
                <c:idx val="0"/>
                <c:order val="0"/>
                <c:tx>
                  <c:strRef>
                    <c:extLst>
                      <c:ext uri="{02D57815-91ED-43cb-92C2-25804820EDAC}">
                        <c15:formulaRef>
                          <c15:sqref>Goals!$M$8</c15:sqref>
                        </c15:formulaRef>
                      </c:ext>
                    </c:extLst>
                    <c:strCache>
                      <c:ptCount val="1"/>
                    </c:strCache>
                  </c:strRef>
                </c:tx>
                <c:spPr>
                  <a:solidFill>
                    <a:schemeClr val="accent1"/>
                  </a:solidFill>
                  <a:ln>
                    <a:noFill/>
                  </a:ln>
                  <a:effectLst/>
                </c:spPr>
                <c:invertIfNegative val="0"/>
                <c:cat>
                  <c:strRef>
                    <c:extLst>
                      <c:ext uri="{02D57815-91ED-43cb-92C2-25804820EDAC}">
                        <c15:formulaRef>
                          <c15:sqref>Goals!$L$9:$L$13</c15:sqref>
                        </c15:formulaRef>
                      </c:ext>
                    </c:extLst>
                    <c:strCache>
                      <c:ptCount val="5"/>
                      <c:pt idx="0">
                        <c:v>Groceries/Food</c:v>
                      </c:pt>
                      <c:pt idx="1">
                        <c:v>Monthly Bills</c:v>
                      </c:pt>
                      <c:pt idx="2">
                        <c:v>Clothes and Necessities</c:v>
                      </c:pt>
                      <c:pt idx="3">
                        <c:v>Entertainment</c:v>
                      </c:pt>
                      <c:pt idx="4">
                        <c:v>Other</c:v>
                      </c:pt>
                    </c:strCache>
                  </c:strRef>
                </c:cat>
                <c:val>
                  <c:numRef>
                    <c:extLst>
                      <c:ext uri="{02D57815-91ED-43cb-92C2-25804820EDAC}">
                        <c15:formulaRef>
                          <c15:sqref>Goals!$M$9:$M$13</c15:sqref>
                        </c15:formulaRef>
                      </c:ext>
                    </c:extLst>
                    <c:numCache>
                      <c:formatCode>General</c:formatCode>
                      <c:ptCount val="5"/>
                    </c:numCache>
                  </c:numRef>
                </c:val>
                <c:extLst>
                  <c:ext xmlns:c16="http://schemas.microsoft.com/office/drawing/2014/chart" uri="{C3380CC4-5D6E-409C-BE32-E72D297353CC}">
                    <c16:uniqueId val="{00000001-D81C-4725-B2D5-373C02764E94}"/>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Goals!$O$8</c15:sqref>
                        </c15:formulaRef>
                      </c:ext>
                    </c:extLst>
                    <c:strCache>
                      <c:ptCount val="1"/>
                    </c:strCache>
                  </c:strRef>
                </c:tx>
                <c:spPr>
                  <a:solidFill>
                    <a:schemeClr val="accent3"/>
                  </a:solidFill>
                  <a:ln>
                    <a:noFill/>
                  </a:ln>
                  <a:effectLst/>
                </c:spPr>
                <c:invertIfNegative val="0"/>
                <c:cat>
                  <c:strRef>
                    <c:extLst xmlns:c15="http://schemas.microsoft.com/office/drawing/2012/chart">
                      <c:ext xmlns:c15="http://schemas.microsoft.com/office/drawing/2012/chart" uri="{02D57815-91ED-43cb-92C2-25804820EDAC}">
                        <c15:formulaRef>
                          <c15:sqref>Goals!$L$9:$L$13</c15:sqref>
                        </c15:formulaRef>
                      </c:ext>
                    </c:extLst>
                    <c:strCache>
                      <c:ptCount val="5"/>
                      <c:pt idx="0">
                        <c:v>Groceries/Food</c:v>
                      </c:pt>
                      <c:pt idx="1">
                        <c:v>Monthly Bills</c:v>
                      </c:pt>
                      <c:pt idx="2">
                        <c:v>Clothes and Necessities</c:v>
                      </c:pt>
                      <c:pt idx="3">
                        <c:v>Entertainment</c:v>
                      </c:pt>
                      <c:pt idx="4">
                        <c:v>Other</c:v>
                      </c:pt>
                    </c:strCache>
                  </c:strRef>
                </c:cat>
                <c:val>
                  <c:numRef>
                    <c:extLst xmlns:c15="http://schemas.microsoft.com/office/drawing/2012/chart">
                      <c:ext xmlns:c15="http://schemas.microsoft.com/office/drawing/2012/chart" uri="{02D57815-91ED-43cb-92C2-25804820EDAC}">
                        <c15:formulaRef>
                          <c15:sqref>Goals!$O$9:$O$13</c15:sqref>
                        </c15:formulaRef>
                      </c:ext>
                    </c:extLst>
                    <c:numCache>
                      <c:formatCode>"$"#,##0.00</c:formatCode>
                      <c:ptCount val="5"/>
                    </c:numCache>
                  </c:numRef>
                </c:val>
                <c:extLst xmlns:c15="http://schemas.microsoft.com/office/drawing/2012/chart">
                  <c:ext xmlns:c16="http://schemas.microsoft.com/office/drawing/2014/chart" uri="{C3380CC4-5D6E-409C-BE32-E72D297353CC}">
                    <c16:uniqueId val="{00000002-D81C-4725-B2D5-373C02764E94}"/>
                  </c:ext>
                </c:extLst>
              </c15:ser>
            </c15:filteredBarSeries>
          </c:ext>
        </c:extLst>
      </c:barChart>
      <c:catAx>
        <c:axId val="26590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Centaur" panose="02030504050205020304" pitchFamily="18" charset="0"/>
                <a:ea typeface="+mn-ea"/>
                <a:cs typeface="+mn-cs"/>
              </a:defRPr>
            </a:pPr>
            <a:endParaRPr lang="en-US"/>
          </a:p>
        </c:txPr>
        <c:crossAx val="2067572336"/>
        <c:crosses val="autoZero"/>
        <c:auto val="1"/>
        <c:lblAlgn val="ctr"/>
        <c:lblOffset val="100"/>
        <c:noMultiLvlLbl val="0"/>
      </c:catAx>
      <c:valAx>
        <c:axId val="20675723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chemeClr val="tx1">
                        <a:lumMod val="65000"/>
                        <a:lumOff val="35000"/>
                      </a:schemeClr>
                    </a:solidFill>
                    <a:latin typeface="Centaur" panose="02030504050205020304" pitchFamily="18" charset="0"/>
                    <a:ea typeface="+mn-ea"/>
                    <a:cs typeface="+mn-cs"/>
                  </a:defRPr>
                </a:pPr>
                <a:r>
                  <a:rPr lang="en-US"/>
                  <a:t>Amount</a:t>
                </a:r>
                <a:r>
                  <a:rPr lang="en-US" baseline="0"/>
                  <a:t> Spent ($)</a:t>
                </a:r>
                <a:endParaRPr lang="en-US"/>
              </a:p>
            </c:rich>
          </c:tx>
          <c:overlay val="0"/>
          <c:spPr>
            <a:noFill/>
            <a:ln>
              <a:noFill/>
            </a:ln>
            <a:effectLst/>
          </c:spPr>
          <c:txPr>
            <a:bodyPr rot="-5400000" spcFirstLastPara="1" vertOverflow="ellipsis" vert="horz" wrap="square" anchor="ctr" anchorCtr="1"/>
            <a:lstStyle/>
            <a:p>
              <a:pPr>
                <a:defRPr sz="1050" b="0" i="0" u="none" strike="noStrike" kern="1200" baseline="0">
                  <a:solidFill>
                    <a:schemeClr val="tx1">
                      <a:lumMod val="65000"/>
                      <a:lumOff val="35000"/>
                    </a:schemeClr>
                  </a:solidFill>
                  <a:latin typeface="Centaur" panose="02030504050205020304" pitchFamily="18" charset="0"/>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Centaur" panose="02030504050205020304" pitchFamily="18" charset="0"/>
                <a:ea typeface="+mn-ea"/>
                <a:cs typeface="+mn-cs"/>
              </a:defRPr>
            </a:pPr>
            <a:endParaRPr lang="en-US"/>
          </a:p>
        </c:txPr>
        <c:crossAx val="26590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50">
          <a:latin typeface="Centaur" panose="02030504050205020304" pitchFamily="18"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20" b="0" i="0" u="none" strike="noStrike" kern="1200" spc="0" baseline="0">
                <a:solidFill>
                  <a:schemeClr val="tx1">
                    <a:lumMod val="65000"/>
                    <a:lumOff val="35000"/>
                  </a:schemeClr>
                </a:solidFill>
                <a:latin typeface="Centaur" panose="02030504050205020304" pitchFamily="18" charset="0"/>
                <a:ea typeface="+mn-ea"/>
                <a:cs typeface="+mn-cs"/>
              </a:defRPr>
            </a:pPr>
            <a:r>
              <a:rPr lang="en-US"/>
              <a:t>Net</a:t>
            </a:r>
            <a:r>
              <a:rPr lang="en-US" baseline="0"/>
              <a:t> Balance per Account</a:t>
            </a:r>
            <a:endParaRPr lang="en-US"/>
          </a:p>
        </c:rich>
      </c:tx>
      <c:overlay val="0"/>
      <c:spPr>
        <a:noFill/>
        <a:ln>
          <a:noFill/>
        </a:ln>
        <a:effectLst/>
      </c:spPr>
      <c:txPr>
        <a:bodyPr rot="0" spcFirstLastPara="1" vertOverflow="ellipsis" vert="horz" wrap="square" anchor="ctr" anchorCtr="1"/>
        <a:lstStyle/>
        <a:p>
          <a:pPr>
            <a:defRPr sz="1320" b="0" i="0" u="none" strike="noStrike" kern="1200" spc="0" baseline="0">
              <a:solidFill>
                <a:schemeClr val="tx1">
                  <a:lumMod val="65000"/>
                  <a:lumOff val="35000"/>
                </a:schemeClr>
              </a:solidFill>
              <a:latin typeface="Centaur" panose="02030504050205020304" pitchFamily="18" charset="0"/>
              <a:ea typeface="+mn-ea"/>
              <a:cs typeface="+mn-cs"/>
            </a:defRPr>
          </a:pPr>
          <a:endParaRPr lang="en-US"/>
        </a:p>
      </c:txPr>
    </c:title>
    <c:autoTitleDeleted val="0"/>
    <c:plotArea>
      <c:layout/>
      <c:barChart>
        <c:barDir val="col"/>
        <c:grouping val="stacked"/>
        <c:varyColors val="0"/>
        <c:ser>
          <c:idx val="0"/>
          <c:order val="0"/>
          <c:tx>
            <c:v>Income</c:v>
          </c:tx>
          <c:spPr>
            <a:solidFill>
              <a:schemeClr val="accent1"/>
            </a:solidFill>
            <a:ln>
              <a:noFill/>
            </a:ln>
            <a:effectLst/>
          </c:spPr>
          <c:invertIfNegative val="0"/>
          <c:cat>
            <c:strRef>
              <c:f>'My Finances'!$D$5:$F$5</c:f>
              <c:strCache>
                <c:ptCount val="3"/>
                <c:pt idx="0">
                  <c:v>Chequing Account</c:v>
                </c:pt>
                <c:pt idx="1">
                  <c:v>WatCard</c:v>
                </c:pt>
                <c:pt idx="2">
                  <c:v>Savings Account</c:v>
                </c:pt>
              </c:strCache>
            </c:strRef>
          </c:cat>
          <c:val>
            <c:numRef>
              <c:f>'My Finances'!$D$9:$F$9</c:f>
              <c:numCache>
                <c:formatCode>"$"#,##0.00_);\("$"#,##0.00\)</c:formatCode>
                <c:ptCount val="3"/>
              </c:numCache>
            </c:numRef>
          </c:val>
          <c:extLst>
            <c:ext xmlns:c16="http://schemas.microsoft.com/office/drawing/2014/chart" uri="{C3380CC4-5D6E-409C-BE32-E72D297353CC}">
              <c16:uniqueId val="{00000000-497F-401A-AF2B-2191F7FEA33B}"/>
            </c:ext>
          </c:extLst>
        </c:ser>
        <c:ser>
          <c:idx val="1"/>
          <c:order val="1"/>
          <c:tx>
            <c:v>Expenses</c:v>
          </c:tx>
          <c:spPr>
            <a:solidFill>
              <a:schemeClr val="accent2"/>
            </a:solidFill>
            <a:ln>
              <a:noFill/>
            </a:ln>
            <a:effectLst/>
          </c:spPr>
          <c:invertIfNegative val="0"/>
          <c:cat>
            <c:strRef>
              <c:f>'My Finances'!$D$5:$F$5</c:f>
              <c:strCache>
                <c:ptCount val="3"/>
                <c:pt idx="0">
                  <c:v>Chequing Account</c:v>
                </c:pt>
                <c:pt idx="1">
                  <c:v>WatCard</c:v>
                </c:pt>
                <c:pt idx="2">
                  <c:v>Savings Account</c:v>
                </c:pt>
              </c:strCache>
            </c:strRef>
          </c:cat>
          <c:val>
            <c:numRef>
              <c:f>'My Finances'!$D$19:$F$19</c:f>
              <c:numCache>
                <c:formatCode>"$"#,##0.00</c:formatCode>
                <c:ptCount val="3"/>
              </c:numCache>
            </c:numRef>
          </c:val>
          <c:extLst>
            <c:ext xmlns:c16="http://schemas.microsoft.com/office/drawing/2014/chart" uri="{C3380CC4-5D6E-409C-BE32-E72D297353CC}">
              <c16:uniqueId val="{00000001-497F-401A-AF2B-2191F7FEA33B}"/>
            </c:ext>
          </c:extLst>
        </c:ser>
        <c:ser>
          <c:idx val="2"/>
          <c:order val="2"/>
          <c:tx>
            <c:v>Net Balance</c:v>
          </c:tx>
          <c:spPr>
            <a:solidFill>
              <a:schemeClr val="accent3"/>
            </a:solidFill>
            <a:ln>
              <a:noFill/>
            </a:ln>
            <a:effectLst/>
          </c:spPr>
          <c:invertIfNegative val="0"/>
          <c:cat>
            <c:strRef>
              <c:f>'My Finances'!$D$5:$F$5</c:f>
              <c:strCache>
                <c:ptCount val="3"/>
                <c:pt idx="0">
                  <c:v>Chequing Account</c:v>
                </c:pt>
                <c:pt idx="1">
                  <c:v>WatCard</c:v>
                </c:pt>
                <c:pt idx="2">
                  <c:v>Savings Account</c:v>
                </c:pt>
              </c:strCache>
            </c:strRef>
          </c:cat>
          <c:val>
            <c:numRef>
              <c:f>'My Finances'!$D$22:$F$22</c:f>
              <c:numCache>
                <c:formatCode>"$"#,##0.00_);\("$"#,##0.00\)</c:formatCode>
                <c:ptCount val="3"/>
              </c:numCache>
            </c:numRef>
          </c:val>
          <c:extLst>
            <c:ext xmlns:c16="http://schemas.microsoft.com/office/drawing/2014/chart" uri="{C3380CC4-5D6E-409C-BE32-E72D297353CC}">
              <c16:uniqueId val="{00000002-497F-401A-AF2B-2191F7FEA33B}"/>
            </c:ext>
          </c:extLst>
        </c:ser>
        <c:dLbls>
          <c:showLegendKey val="0"/>
          <c:showVal val="0"/>
          <c:showCatName val="0"/>
          <c:showSerName val="0"/>
          <c:showPercent val="0"/>
          <c:showBubbleSize val="0"/>
        </c:dLbls>
        <c:gapWidth val="75"/>
        <c:overlap val="100"/>
        <c:axId val="133345632"/>
        <c:axId val="1070096560"/>
      </c:barChart>
      <c:catAx>
        <c:axId val="133345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Centaur" panose="02030504050205020304" pitchFamily="18" charset="0"/>
                <a:ea typeface="+mn-ea"/>
                <a:cs typeface="+mn-cs"/>
              </a:defRPr>
            </a:pPr>
            <a:endParaRPr lang="en-US"/>
          </a:p>
        </c:txPr>
        <c:crossAx val="1070096560"/>
        <c:crosses val="autoZero"/>
        <c:auto val="1"/>
        <c:lblAlgn val="ctr"/>
        <c:lblOffset val="100"/>
        <c:noMultiLvlLbl val="0"/>
      </c:catAx>
      <c:valAx>
        <c:axId val="107009656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quot;$&quot;#,##0.0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Centaur" panose="02030504050205020304" pitchFamily="18" charset="0"/>
                <a:ea typeface="+mn-ea"/>
                <a:cs typeface="+mn-cs"/>
              </a:defRPr>
            </a:pPr>
            <a:endParaRPr lang="en-US"/>
          </a:p>
        </c:txPr>
        <c:crossAx val="13334563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100" b="0" i="0" u="none" strike="noStrike" kern="1200" baseline="0">
                <a:solidFill>
                  <a:schemeClr val="tx1">
                    <a:lumMod val="65000"/>
                    <a:lumOff val="35000"/>
                  </a:schemeClr>
                </a:solidFill>
                <a:latin typeface="Centaur" panose="02030504050205020304" pitchFamily="18" charset="0"/>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100">
          <a:latin typeface="Centaur" panose="02030504050205020304" pitchFamily="18" charset="0"/>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80" b="0" i="0" u="none" strike="noStrike" kern="1200" spc="0" baseline="0">
                <a:solidFill>
                  <a:schemeClr val="tx1">
                    <a:lumMod val="65000"/>
                    <a:lumOff val="35000"/>
                  </a:schemeClr>
                </a:solidFill>
                <a:latin typeface="Centaur" panose="02030504050205020304" pitchFamily="18" charset="0"/>
                <a:ea typeface="+mn-ea"/>
                <a:cs typeface="+mn-cs"/>
              </a:defRPr>
            </a:pPr>
            <a:r>
              <a:rPr lang="en-US"/>
              <a:t>Income and Expenses for the past 3 months</a:t>
            </a:r>
          </a:p>
        </c:rich>
      </c:tx>
      <c:overlay val="0"/>
      <c:spPr>
        <a:noFill/>
        <a:ln>
          <a:noFill/>
        </a:ln>
        <a:effectLst/>
      </c:spPr>
      <c:txPr>
        <a:bodyPr rot="0" spcFirstLastPara="1" vertOverflow="ellipsis" vert="horz" wrap="square" anchor="ctr" anchorCtr="1"/>
        <a:lstStyle/>
        <a:p>
          <a:pPr>
            <a:defRPr sz="1380" b="0" i="0" u="none" strike="noStrike" kern="1200" spc="0" baseline="0">
              <a:solidFill>
                <a:schemeClr val="tx1">
                  <a:lumMod val="65000"/>
                  <a:lumOff val="35000"/>
                </a:schemeClr>
              </a:solidFill>
              <a:latin typeface="Centaur" panose="02030504050205020304" pitchFamily="18" charset="0"/>
              <a:ea typeface="+mn-ea"/>
              <a:cs typeface="+mn-cs"/>
            </a:defRPr>
          </a:pPr>
          <a:endParaRPr lang="en-US"/>
        </a:p>
      </c:txPr>
    </c:title>
    <c:autoTitleDeleted val="0"/>
    <c:plotArea>
      <c:layout/>
      <c:lineChart>
        <c:grouping val="standard"/>
        <c:varyColors val="0"/>
        <c:ser>
          <c:idx val="0"/>
          <c:order val="0"/>
          <c:tx>
            <c:strRef>
              <c:f>Hidden!$B$10</c:f>
              <c:strCache>
                <c:ptCount val="1"/>
                <c:pt idx="0">
                  <c:v>Income</c:v>
                </c:pt>
              </c:strCache>
            </c:strRef>
          </c:tx>
          <c:spPr>
            <a:ln w="28575" cap="rnd">
              <a:solidFill>
                <a:schemeClr val="accent1"/>
              </a:solidFill>
              <a:round/>
            </a:ln>
            <a:effectLst/>
          </c:spPr>
          <c:marker>
            <c:symbol val="none"/>
          </c:marker>
          <c:cat>
            <c:numRef>
              <c:f>Hidden!$A$11:$A$13</c:f>
              <c:numCache>
                <c:formatCode>_("$"* #,##0.00_);_("$"* \(#,##0.00\);_("$"* "-"??_);_(@_)</c:formatCode>
                <c:ptCount val="3"/>
              </c:numCache>
            </c:numRef>
          </c:cat>
          <c:val>
            <c:numRef>
              <c:f>Hidden!$B$11:$B$13</c:f>
              <c:numCache>
                <c:formatCode>_("$"* #,##0.00_);_("$"* \(#,##0.00\);_("$"* "-"??_);_(@_)</c:formatCode>
                <c:ptCount val="3"/>
              </c:numCache>
            </c:numRef>
          </c:val>
          <c:smooth val="0"/>
          <c:extLst>
            <c:ext xmlns:c16="http://schemas.microsoft.com/office/drawing/2014/chart" uri="{C3380CC4-5D6E-409C-BE32-E72D297353CC}">
              <c16:uniqueId val="{00000000-FABD-4ED8-8297-D47B092786AE}"/>
            </c:ext>
          </c:extLst>
        </c:ser>
        <c:ser>
          <c:idx val="1"/>
          <c:order val="1"/>
          <c:tx>
            <c:strRef>
              <c:f>Hidden!$C$10</c:f>
              <c:strCache>
                <c:ptCount val="1"/>
                <c:pt idx="0">
                  <c:v>Expenses</c:v>
                </c:pt>
              </c:strCache>
            </c:strRef>
          </c:tx>
          <c:spPr>
            <a:ln w="28575" cap="rnd">
              <a:solidFill>
                <a:srgbClr val="FF0000"/>
              </a:solidFill>
              <a:round/>
            </a:ln>
            <a:effectLst/>
          </c:spPr>
          <c:marker>
            <c:symbol val="none"/>
          </c:marker>
          <c:cat>
            <c:numRef>
              <c:f>Hidden!$A$11:$A$13</c:f>
              <c:numCache>
                <c:formatCode>_("$"* #,##0.00_);_("$"* \(#,##0.00\);_("$"* "-"??_);_(@_)</c:formatCode>
                <c:ptCount val="3"/>
              </c:numCache>
            </c:numRef>
          </c:cat>
          <c:val>
            <c:numRef>
              <c:f>Hidden!$C$11:$C$13</c:f>
              <c:numCache>
                <c:formatCode>_("$"* #,##0.00_);_("$"* \(#,##0.00\);_("$"* "-"??_);_(@_)</c:formatCode>
                <c:ptCount val="3"/>
              </c:numCache>
            </c:numRef>
          </c:val>
          <c:smooth val="0"/>
          <c:extLst>
            <c:ext xmlns:c16="http://schemas.microsoft.com/office/drawing/2014/chart" uri="{C3380CC4-5D6E-409C-BE32-E72D297353CC}">
              <c16:uniqueId val="{00000001-FABD-4ED8-8297-D47B092786AE}"/>
            </c:ext>
          </c:extLst>
        </c:ser>
        <c:dLbls>
          <c:showLegendKey val="0"/>
          <c:showVal val="0"/>
          <c:showCatName val="0"/>
          <c:showSerName val="0"/>
          <c:showPercent val="0"/>
          <c:showBubbleSize val="0"/>
        </c:dLbls>
        <c:smooth val="0"/>
        <c:axId val="182430271"/>
        <c:axId val="86824847"/>
      </c:lineChart>
      <c:catAx>
        <c:axId val="182430271"/>
        <c:scaling>
          <c:orientation val="minMax"/>
        </c:scaling>
        <c:delete val="0"/>
        <c:axPos val="b"/>
        <c:numFmt formatCode="_(&quot;$&quot;* #,##0.00_);_(&quot;$&quot;* \(#,##0.00\);_(&quot;$&quot;* &quot;-&quot;??_);_(@_)"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50" b="0" i="0" u="none" strike="noStrike" kern="1200" baseline="0">
                <a:solidFill>
                  <a:schemeClr val="tx1">
                    <a:lumMod val="65000"/>
                    <a:lumOff val="35000"/>
                  </a:schemeClr>
                </a:solidFill>
                <a:latin typeface="Centaur" panose="02030504050205020304" pitchFamily="18" charset="0"/>
                <a:ea typeface="+mn-ea"/>
                <a:cs typeface="+mn-cs"/>
              </a:defRPr>
            </a:pPr>
            <a:endParaRPr lang="en-US"/>
          </a:p>
        </c:txPr>
        <c:crossAx val="86824847"/>
        <c:crosses val="autoZero"/>
        <c:auto val="1"/>
        <c:lblAlgn val="ctr"/>
        <c:lblOffset val="100"/>
        <c:noMultiLvlLbl val="0"/>
      </c:catAx>
      <c:valAx>
        <c:axId val="86824847"/>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150" b="0" i="0" u="none" strike="noStrike" kern="1200" baseline="0">
                <a:solidFill>
                  <a:schemeClr val="tx1">
                    <a:lumMod val="65000"/>
                    <a:lumOff val="35000"/>
                  </a:schemeClr>
                </a:solidFill>
                <a:latin typeface="Centaur" panose="02030504050205020304" pitchFamily="18" charset="0"/>
                <a:ea typeface="+mn-ea"/>
                <a:cs typeface="+mn-cs"/>
              </a:defRPr>
            </a:pPr>
            <a:endParaRPr lang="en-US"/>
          </a:p>
        </c:txPr>
        <c:crossAx val="1824302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50" b="0" i="0" u="none" strike="noStrike" kern="1200" baseline="0">
              <a:solidFill>
                <a:schemeClr val="tx1">
                  <a:lumMod val="65000"/>
                  <a:lumOff val="35000"/>
                </a:schemeClr>
              </a:solidFill>
              <a:latin typeface="Centaur" panose="02030504050205020304" pitchFamily="18"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150">
          <a:latin typeface="Centaur" panose="02030504050205020304" pitchFamily="18"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y Finances'!A1"/><Relationship Id="rId2" Type="http://schemas.openxmlformats.org/officeDocument/2006/relationships/hyperlink" Target="#Goals!A1"/><Relationship Id="rId1" Type="http://schemas.openxmlformats.org/officeDocument/2006/relationships/hyperlink" Target="#'Expenses&amp;Incomes'!A1"/><Relationship Id="rId4" Type="http://schemas.openxmlformats.org/officeDocument/2006/relationships/hyperlink" Target="#'Financial Advice'!A1"/></Relationships>
</file>

<file path=xl/drawings/_rels/drawing3.xml.rels><?xml version="1.0" encoding="UTF-8" standalone="yes"?>
<Relationships xmlns="http://schemas.openxmlformats.org/package/2006/relationships"><Relationship Id="rId3" Type="http://schemas.openxmlformats.org/officeDocument/2006/relationships/hyperlink" Target="#'Financial Advice'!A1"/><Relationship Id="rId2" Type="http://schemas.openxmlformats.org/officeDocument/2006/relationships/hyperlink" Target="#'My Finances'!A1"/><Relationship Id="rId1" Type="http://schemas.openxmlformats.org/officeDocument/2006/relationships/hyperlink" Target="#Goals!A1"/></Relationships>
</file>

<file path=xl/drawings/_rels/drawing4.xml.rels><?xml version="1.0" encoding="UTF-8" standalone="yes"?>
<Relationships xmlns="http://schemas.openxmlformats.org/package/2006/relationships"><Relationship Id="rId3" Type="http://schemas.openxmlformats.org/officeDocument/2006/relationships/hyperlink" Target="#'Expenses&amp;Incomes'!A1"/><Relationship Id="rId2" Type="http://schemas.openxmlformats.org/officeDocument/2006/relationships/hyperlink" Target="#'Financial Advice'!A1"/><Relationship Id="rId1" Type="http://schemas.openxmlformats.org/officeDocument/2006/relationships/hyperlink" Target="#Goals!A1"/></Relationships>
</file>

<file path=xl/drawings/_rels/drawing5.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3.xml"/><Relationship Id="rId7" Type="http://schemas.openxmlformats.org/officeDocument/2006/relationships/hyperlink" Target="#'My Finances'!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Goals!A1"/><Relationship Id="rId5" Type="http://schemas.openxmlformats.org/officeDocument/2006/relationships/hyperlink" Target="#'Expenses&amp;Incomes'!A1"/><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12</xdr:col>
      <xdr:colOff>514352</xdr:colOff>
      <xdr:row>7</xdr:row>
      <xdr:rowOff>33335</xdr:rowOff>
    </xdr:from>
    <xdr:to>
      <xdr:col>14</xdr:col>
      <xdr:colOff>204788</xdr:colOff>
      <xdr:row>9</xdr:row>
      <xdr:rowOff>180974</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000-000002000000}"/>
            </a:ext>
          </a:extLst>
        </xdr:cNvPr>
        <xdr:cNvSpPr/>
      </xdr:nvSpPr>
      <xdr:spPr>
        <a:xfrm>
          <a:off x="8286752" y="1500185"/>
          <a:ext cx="985836" cy="509589"/>
        </a:xfrm>
        <a:prstGeom prst="roundRect">
          <a:avLst/>
        </a:prstGeom>
        <a:solidFill>
          <a:schemeClr val="accent2"/>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Centaur" panose="02030504050205020304" pitchFamily="18" charset="0"/>
            </a:rPr>
            <a:t>Expenses and Income</a:t>
          </a:r>
        </a:p>
        <a:p>
          <a:pPr algn="ctr"/>
          <a:endParaRPr lang="en-US" sz="1200">
            <a:latin typeface="Centaur" panose="02030504050205020304" pitchFamily="18" charset="0"/>
          </a:endParaRPr>
        </a:p>
      </xdr:txBody>
    </xdr:sp>
    <xdr:clientData/>
  </xdr:twoCellAnchor>
  <xdr:twoCellAnchor>
    <xdr:from>
      <xdr:col>11</xdr:col>
      <xdr:colOff>23813</xdr:colOff>
      <xdr:row>7</xdr:row>
      <xdr:rowOff>23813</xdr:rowOff>
    </xdr:from>
    <xdr:to>
      <xdr:col>12</xdr:col>
      <xdr:colOff>381001</xdr:colOff>
      <xdr:row>9</xdr:row>
      <xdr:rowOff>161925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0000000-0008-0000-0000-000003000000}"/>
            </a:ext>
          </a:extLst>
        </xdr:cNvPr>
        <xdr:cNvSpPr/>
      </xdr:nvSpPr>
      <xdr:spPr>
        <a:xfrm>
          <a:off x="7148513" y="1490663"/>
          <a:ext cx="1004888" cy="500062"/>
        </a:xfrm>
        <a:prstGeom prst="roundRect">
          <a:avLst/>
        </a:prstGeom>
        <a:solidFill>
          <a:schemeClr val="accent2"/>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Centaur" panose="02030504050205020304" pitchFamily="18" charset="0"/>
            </a:rPr>
            <a:t>Goals</a:t>
          </a:r>
        </a:p>
      </xdr:txBody>
    </xdr:sp>
    <xdr:clientData/>
  </xdr:twoCellAnchor>
  <mc:AlternateContent xmlns:mc="http://schemas.openxmlformats.org/markup-compatibility/2006">
    <mc:Choice xmlns:a14="http://schemas.microsoft.com/office/drawing/2010/main" Requires="a14">
      <xdr:twoCellAnchor>
        <xdr:from>
          <xdr:col>7</xdr:col>
          <xdr:colOff>52388</xdr:colOff>
          <xdr:row>11</xdr:row>
          <xdr:rowOff>9525</xdr:rowOff>
        </xdr:from>
        <xdr:to>
          <xdr:col>8</xdr:col>
          <xdr:colOff>485775</xdr:colOff>
          <xdr:row>14</xdr:row>
          <xdr:rowOff>28575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entaur"/>
                </a:rPr>
                <a:t>Set Initial Account Balance</a:t>
              </a:r>
            </a:p>
          </xdr:txBody>
        </xdr:sp>
        <xdr:clientData fPrintsWithSheet="0"/>
      </xdr:twoCellAnchor>
    </mc:Choice>
    <mc:Fallback/>
  </mc:AlternateContent>
  <xdr:twoCellAnchor>
    <xdr:from>
      <xdr:col>11</xdr:col>
      <xdr:colOff>23813</xdr:colOff>
      <xdr:row>10</xdr:row>
      <xdr:rowOff>23813</xdr:rowOff>
    </xdr:from>
    <xdr:to>
      <xdr:col>12</xdr:col>
      <xdr:colOff>381001</xdr:colOff>
      <xdr:row>12</xdr:row>
      <xdr:rowOff>161925</xdr:rowOff>
    </xdr:to>
    <xdr:sp macro="" textlink="">
      <xdr:nvSpPr>
        <xdr:cNvPr id="7" name="Rectangle: Rounded Corners 6">
          <a:hlinkClick xmlns:r="http://schemas.openxmlformats.org/officeDocument/2006/relationships" r:id="rId3"/>
          <a:extLst>
            <a:ext uri="{FF2B5EF4-FFF2-40B4-BE49-F238E27FC236}">
              <a16:creationId xmlns:a16="http://schemas.microsoft.com/office/drawing/2014/main" id="{00000000-0008-0000-0000-000007000000}"/>
            </a:ext>
          </a:extLst>
        </xdr:cNvPr>
        <xdr:cNvSpPr/>
      </xdr:nvSpPr>
      <xdr:spPr>
        <a:xfrm>
          <a:off x="7181851" y="2052638"/>
          <a:ext cx="1004888" cy="500062"/>
        </a:xfrm>
        <a:prstGeom prst="roundRect">
          <a:avLst/>
        </a:prstGeom>
        <a:solidFill>
          <a:schemeClr val="accent2"/>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Centaur" panose="02030504050205020304" pitchFamily="18" charset="0"/>
            </a:rPr>
            <a:t>My</a:t>
          </a:r>
          <a:r>
            <a:rPr lang="en-US" sz="1200" baseline="0">
              <a:latin typeface="Centaur" panose="02030504050205020304" pitchFamily="18" charset="0"/>
            </a:rPr>
            <a:t> Finances</a:t>
          </a:r>
          <a:endParaRPr lang="en-US" sz="1200">
            <a:latin typeface="Centaur" panose="02030504050205020304" pitchFamily="18" charset="0"/>
          </a:endParaRPr>
        </a:p>
      </xdr:txBody>
    </xdr:sp>
    <xdr:clientData/>
  </xdr:twoCellAnchor>
  <xdr:twoCellAnchor>
    <xdr:from>
      <xdr:col>12</xdr:col>
      <xdr:colOff>500062</xdr:colOff>
      <xdr:row>10</xdr:row>
      <xdr:rowOff>47625</xdr:rowOff>
    </xdr:from>
    <xdr:to>
      <xdr:col>14</xdr:col>
      <xdr:colOff>242888</xdr:colOff>
      <xdr:row>13</xdr:row>
      <xdr:rowOff>23813</xdr:rowOff>
    </xdr:to>
    <xdr:sp macro="" textlink="">
      <xdr:nvSpPr>
        <xdr:cNvPr id="10" name="Rectangle: Rounded Corners 9">
          <a:hlinkClick xmlns:r="http://schemas.openxmlformats.org/officeDocument/2006/relationships" r:id="rId4"/>
          <a:extLst>
            <a:ext uri="{FF2B5EF4-FFF2-40B4-BE49-F238E27FC236}">
              <a16:creationId xmlns:a16="http://schemas.microsoft.com/office/drawing/2014/main" id="{00000000-0008-0000-0000-00000A000000}"/>
            </a:ext>
          </a:extLst>
        </xdr:cNvPr>
        <xdr:cNvSpPr/>
      </xdr:nvSpPr>
      <xdr:spPr>
        <a:xfrm>
          <a:off x="8305800" y="2076450"/>
          <a:ext cx="1038226" cy="519113"/>
        </a:xfrm>
        <a:prstGeom prst="roundRect">
          <a:avLst/>
        </a:prstGeom>
        <a:solidFill>
          <a:schemeClr val="accent2"/>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Centaur" panose="02030504050205020304" pitchFamily="18" charset="0"/>
            </a:rPr>
            <a:t>Financial</a:t>
          </a:r>
          <a:r>
            <a:rPr lang="en-US" sz="1200" baseline="0">
              <a:latin typeface="Centaur" panose="02030504050205020304" pitchFamily="18" charset="0"/>
            </a:rPr>
            <a:t> Advice</a:t>
          </a:r>
          <a:endParaRPr lang="en-US" sz="1200">
            <a:latin typeface="Centaur" panose="020305040502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395288</xdr:colOff>
          <xdr:row>5</xdr:row>
          <xdr:rowOff>204788</xdr:rowOff>
        </xdr:from>
        <xdr:to>
          <xdr:col>4</xdr:col>
          <xdr:colOff>457200</xdr:colOff>
          <xdr:row>8</xdr:row>
          <xdr:rowOff>100013</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400" b="0" i="0" u="none" strike="noStrike" baseline="0">
                  <a:solidFill>
                    <a:srgbClr val="000000"/>
                  </a:solidFill>
                  <a:latin typeface="Centaur"/>
                </a:rPr>
                <a:t>Goal Setting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600075</xdr:colOff>
          <xdr:row>10</xdr:row>
          <xdr:rowOff>19050</xdr:rowOff>
        </xdr:from>
        <xdr:to>
          <xdr:col>10</xdr:col>
          <xdr:colOff>314325</xdr:colOff>
          <xdr:row>12</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609600</xdr:colOff>
          <xdr:row>1</xdr:row>
          <xdr:rowOff>190500</xdr:rowOff>
        </xdr:from>
        <xdr:to>
          <xdr:col>10</xdr:col>
          <xdr:colOff>314325</xdr:colOff>
          <xdr:row>3</xdr:row>
          <xdr:rowOff>180975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Add Expense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600075</xdr:colOff>
          <xdr:row>4</xdr:row>
          <xdr:rowOff>85725</xdr:rowOff>
        </xdr:from>
        <xdr:to>
          <xdr:col>10</xdr:col>
          <xdr:colOff>309563</xdr:colOff>
          <xdr:row>6</xdr:row>
          <xdr:rowOff>147638</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Add Income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7</xdr:row>
          <xdr:rowOff>90488</xdr:rowOff>
        </xdr:from>
        <xdr:to>
          <xdr:col>10</xdr:col>
          <xdr:colOff>309563</xdr:colOff>
          <xdr:row>9</xdr:row>
          <xdr:rowOff>100013</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200-000008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Add Tuition</a:t>
              </a:r>
            </a:p>
          </xdr:txBody>
        </xdr:sp>
        <xdr:clientData fPrintsWithSheet="0"/>
      </xdr:twoCellAnchor>
    </mc:Choice>
    <mc:Fallback/>
  </mc:AlternateContent>
  <xdr:twoCellAnchor>
    <xdr:from>
      <xdr:col>8</xdr:col>
      <xdr:colOff>280987</xdr:colOff>
      <xdr:row>13</xdr:row>
      <xdr:rowOff>9525</xdr:rowOff>
    </xdr:from>
    <xdr:to>
      <xdr:col>9</xdr:col>
      <xdr:colOff>600075</xdr:colOff>
      <xdr:row>15</xdr:row>
      <xdr:rowOff>109537</xdr:rowOff>
    </xdr:to>
    <xdr:sp macro="" textlink="">
      <xdr:nvSpPr>
        <xdr:cNvPr id="40" name="Rectangle: Rounded Corners 39">
          <a:hlinkClick xmlns:r="http://schemas.openxmlformats.org/officeDocument/2006/relationships" r:id="rId1"/>
          <a:extLst>
            <a:ext uri="{FF2B5EF4-FFF2-40B4-BE49-F238E27FC236}">
              <a16:creationId xmlns:a16="http://schemas.microsoft.com/office/drawing/2014/main" id="{00000000-0008-0000-0200-000028000000}"/>
            </a:ext>
          </a:extLst>
        </xdr:cNvPr>
        <xdr:cNvSpPr/>
      </xdr:nvSpPr>
      <xdr:spPr>
        <a:xfrm>
          <a:off x="6900862" y="2609850"/>
          <a:ext cx="966788" cy="500062"/>
        </a:xfrm>
        <a:prstGeom prst="roundRect">
          <a:avLst/>
        </a:prstGeom>
        <a:solidFill>
          <a:schemeClr val="accent2"/>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Centaur" panose="02030504050205020304" pitchFamily="18" charset="0"/>
            </a:rPr>
            <a:t>Goals</a:t>
          </a:r>
        </a:p>
      </xdr:txBody>
    </xdr:sp>
    <xdr:clientData/>
  </xdr:twoCellAnchor>
  <xdr:twoCellAnchor>
    <xdr:from>
      <xdr:col>8</xdr:col>
      <xdr:colOff>276223</xdr:colOff>
      <xdr:row>15</xdr:row>
      <xdr:rowOff>185737</xdr:rowOff>
    </xdr:from>
    <xdr:to>
      <xdr:col>9</xdr:col>
      <xdr:colOff>633411</xdr:colOff>
      <xdr:row>18</xdr:row>
      <xdr:rowOff>85724</xdr:rowOff>
    </xdr:to>
    <xdr:sp macro="" textlink="">
      <xdr:nvSpPr>
        <xdr:cNvPr id="41" name="Rectangle: Rounded Corners 40">
          <a:hlinkClick xmlns:r="http://schemas.openxmlformats.org/officeDocument/2006/relationships" r:id="rId2"/>
          <a:extLst>
            <a:ext uri="{FF2B5EF4-FFF2-40B4-BE49-F238E27FC236}">
              <a16:creationId xmlns:a16="http://schemas.microsoft.com/office/drawing/2014/main" id="{00000000-0008-0000-0200-000029000000}"/>
            </a:ext>
          </a:extLst>
        </xdr:cNvPr>
        <xdr:cNvSpPr/>
      </xdr:nvSpPr>
      <xdr:spPr>
        <a:xfrm>
          <a:off x="6896098" y="3186112"/>
          <a:ext cx="1004888" cy="500062"/>
        </a:xfrm>
        <a:prstGeom prst="roundRect">
          <a:avLst/>
        </a:prstGeom>
        <a:solidFill>
          <a:schemeClr val="accent2"/>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Centaur" panose="02030504050205020304" pitchFamily="18" charset="0"/>
            </a:rPr>
            <a:t>My</a:t>
          </a:r>
          <a:r>
            <a:rPr lang="en-US" sz="1200" baseline="0">
              <a:latin typeface="Centaur" panose="02030504050205020304" pitchFamily="18" charset="0"/>
            </a:rPr>
            <a:t> Finances</a:t>
          </a:r>
          <a:endParaRPr lang="en-US" sz="1200">
            <a:latin typeface="Centaur" panose="02030504050205020304" pitchFamily="18" charset="0"/>
          </a:endParaRPr>
        </a:p>
      </xdr:txBody>
    </xdr:sp>
    <xdr:clientData/>
  </xdr:twoCellAnchor>
  <xdr:twoCellAnchor>
    <xdr:from>
      <xdr:col>8</xdr:col>
      <xdr:colOff>266698</xdr:colOff>
      <xdr:row>18</xdr:row>
      <xdr:rowOff>152400</xdr:rowOff>
    </xdr:from>
    <xdr:to>
      <xdr:col>10</xdr:col>
      <xdr:colOff>9524</xdr:colOff>
      <xdr:row>21</xdr:row>
      <xdr:rowOff>71438</xdr:rowOff>
    </xdr:to>
    <xdr:sp macro="" textlink="">
      <xdr:nvSpPr>
        <xdr:cNvPr id="42" name="Rectangle: Rounded Corners 41">
          <a:hlinkClick xmlns:r="http://schemas.openxmlformats.org/officeDocument/2006/relationships" r:id="rId3"/>
          <a:extLst>
            <a:ext uri="{FF2B5EF4-FFF2-40B4-BE49-F238E27FC236}">
              <a16:creationId xmlns:a16="http://schemas.microsoft.com/office/drawing/2014/main" id="{00000000-0008-0000-0200-00002A000000}"/>
            </a:ext>
          </a:extLst>
        </xdr:cNvPr>
        <xdr:cNvSpPr/>
      </xdr:nvSpPr>
      <xdr:spPr>
        <a:xfrm>
          <a:off x="6886573" y="3752850"/>
          <a:ext cx="1038226" cy="519113"/>
        </a:xfrm>
        <a:prstGeom prst="roundRect">
          <a:avLst/>
        </a:prstGeom>
        <a:solidFill>
          <a:schemeClr val="accent2"/>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Centaur" panose="02030504050205020304" pitchFamily="18" charset="0"/>
            </a:rPr>
            <a:t>Financial</a:t>
          </a:r>
          <a:r>
            <a:rPr lang="en-US" sz="1200" baseline="0">
              <a:latin typeface="Centaur" panose="02030504050205020304" pitchFamily="18" charset="0"/>
            </a:rPr>
            <a:t> Advice</a:t>
          </a:r>
          <a:endParaRPr lang="en-US" sz="1200">
            <a:latin typeface="Centaur" panose="020305040502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51330</xdr:colOff>
      <xdr:row>15</xdr:row>
      <xdr:rowOff>179916</xdr:rowOff>
    </xdr:from>
    <xdr:to>
      <xdr:col>9</xdr:col>
      <xdr:colOff>23285</xdr:colOff>
      <xdr:row>17</xdr:row>
      <xdr:rowOff>224895</xdr:rowOff>
    </xdr:to>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00000000-0008-0000-0300-000005000000}"/>
            </a:ext>
          </a:extLst>
        </xdr:cNvPr>
        <xdr:cNvSpPr/>
      </xdr:nvSpPr>
      <xdr:spPr>
        <a:xfrm>
          <a:off x="8798456" y="3407833"/>
          <a:ext cx="966788" cy="500062"/>
        </a:xfrm>
        <a:prstGeom prst="roundRect">
          <a:avLst/>
        </a:prstGeom>
        <a:solidFill>
          <a:schemeClr val="accent2"/>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Centaur" panose="02030504050205020304" pitchFamily="18" charset="0"/>
            </a:rPr>
            <a:t>Goals</a:t>
          </a:r>
        </a:p>
      </xdr:txBody>
    </xdr:sp>
    <xdr:clientData/>
  </xdr:twoCellAnchor>
  <xdr:twoCellAnchor>
    <xdr:from>
      <xdr:col>8</xdr:col>
      <xdr:colOff>37041</xdr:colOff>
      <xdr:row>20</xdr:row>
      <xdr:rowOff>185207</xdr:rowOff>
    </xdr:from>
    <xdr:to>
      <xdr:col>9</xdr:col>
      <xdr:colOff>80434</xdr:colOff>
      <xdr:row>23</xdr:row>
      <xdr:rowOff>69320</xdr:rowOff>
    </xdr:to>
    <xdr:sp macro="" textlink="">
      <xdr:nvSpPr>
        <xdr:cNvPr id="7" name="Rectangle: Rounded Corners 6">
          <a:hlinkClick xmlns:r="http://schemas.openxmlformats.org/officeDocument/2006/relationships" r:id="rId2"/>
          <a:extLst>
            <a:ext uri="{FF2B5EF4-FFF2-40B4-BE49-F238E27FC236}">
              <a16:creationId xmlns:a16="http://schemas.microsoft.com/office/drawing/2014/main" id="{00000000-0008-0000-0300-000007000000}"/>
            </a:ext>
          </a:extLst>
        </xdr:cNvPr>
        <xdr:cNvSpPr/>
      </xdr:nvSpPr>
      <xdr:spPr>
        <a:xfrm>
          <a:off x="8784167" y="4550833"/>
          <a:ext cx="1038226" cy="519113"/>
        </a:xfrm>
        <a:prstGeom prst="roundRect">
          <a:avLst/>
        </a:prstGeom>
        <a:solidFill>
          <a:schemeClr val="accent2"/>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Centaur" panose="02030504050205020304" pitchFamily="18" charset="0"/>
            </a:rPr>
            <a:t>Financial</a:t>
          </a:r>
          <a:r>
            <a:rPr lang="en-US" sz="1200" baseline="0">
              <a:latin typeface="Centaur" panose="02030504050205020304" pitchFamily="18" charset="0"/>
            </a:rPr>
            <a:t> Advice</a:t>
          </a:r>
          <a:endParaRPr lang="en-US" sz="1200">
            <a:latin typeface="Centaur" panose="02030504050205020304" pitchFamily="18" charset="0"/>
          </a:endParaRPr>
        </a:p>
      </xdr:txBody>
    </xdr:sp>
    <xdr:clientData/>
  </xdr:twoCellAnchor>
  <xdr:twoCellAnchor>
    <xdr:from>
      <xdr:col>8</xdr:col>
      <xdr:colOff>52916</xdr:colOff>
      <xdr:row>18</xdr:row>
      <xdr:rowOff>79375</xdr:rowOff>
    </xdr:from>
    <xdr:to>
      <xdr:col>9</xdr:col>
      <xdr:colOff>43919</xdr:colOff>
      <xdr:row>20</xdr:row>
      <xdr:rowOff>133880</xdr:rowOff>
    </xdr:to>
    <xdr:sp macro="" textlink="">
      <xdr:nvSpPr>
        <xdr:cNvPr id="9" name="Rectangle: Rounded Corners 8">
          <a:hlinkClick xmlns:r="http://schemas.openxmlformats.org/officeDocument/2006/relationships" r:id="rId3"/>
          <a:extLst>
            <a:ext uri="{FF2B5EF4-FFF2-40B4-BE49-F238E27FC236}">
              <a16:creationId xmlns:a16="http://schemas.microsoft.com/office/drawing/2014/main" id="{00000000-0008-0000-0300-000009000000}"/>
            </a:ext>
          </a:extLst>
        </xdr:cNvPr>
        <xdr:cNvSpPr/>
      </xdr:nvSpPr>
      <xdr:spPr>
        <a:xfrm>
          <a:off x="8800042" y="3989917"/>
          <a:ext cx="985836" cy="509589"/>
        </a:xfrm>
        <a:prstGeom prst="roundRect">
          <a:avLst/>
        </a:prstGeom>
        <a:solidFill>
          <a:schemeClr val="accent2"/>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Centaur" panose="02030504050205020304" pitchFamily="18" charset="0"/>
            </a:rPr>
            <a:t>Expenses and Income</a:t>
          </a:r>
        </a:p>
        <a:p>
          <a:pPr algn="ctr"/>
          <a:endParaRPr lang="en-US" sz="1200">
            <a:latin typeface="Centaur" panose="020305040502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238125</xdr:colOff>
          <xdr:row>0</xdr:row>
          <xdr:rowOff>128588</xdr:rowOff>
        </xdr:from>
        <xdr:to>
          <xdr:col>5</xdr:col>
          <xdr:colOff>547688</xdr:colOff>
          <xdr:row>2</xdr:row>
          <xdr:rowOff>128588</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General Tips to Manage Finances!</a:t>
              </a:r>
            </a:p>
          </xdr:txBody>
        </xdr:sp>
        <xdr:clientData fPrintsWithSheet="0"/>
      </xdr:twoCellAnchor>
    </mc:Choice>
    <mc:Fallback/>
  </mc:AlternateContent>
  <xdr:twoCellAnchor>
    <xdr:from>
      <xdr:col>0</xdr:col>
      <xdr:colOff>246529</xdr:colOff>
      <xdr:row>3</xdr:row>
      <xdr:rowOff>90487</xdr:rowOff>
    </xdr:from>
    <xdr:to>
      <xdr:col>6</xdr:col>
      <xdr:colOff>7284</xdr:colOff>
      <xdr:row>19</xdr:row>
      <xdr:rowOff>9524</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98614</xdr:colOff>
      <xdr:row>1</xdr:row>
      <xdr:rowOff>116820</xdr:rowOff>
    </xdr:from>
    <xdr:to>
      <xdr:col>13</xdr:col>
      <xdr:colOff>134474</xdr:colOff>
      <xdr:row>16</xdr:row>
      <xdr:rowOff>95249</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257735</xdr:colOff>
      <xdr:row>19</xdr:row>
      <xdr:rowOff>72837</xdr:rowOff>
    </xdr:from>
    <xdr:to>
      <xdr:col>5</xdr:col>
      <xdr:colOff>643715</xdr:colOff>
      <xdr:row>34</xdr:row>
      <xdr:rowOff>117287</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100853</xdr:colOff>
      <xdr:row>16</xdr:row>
      <xdr:rowOff>156882</xdr:rowOff>
    </xdr:from>
    <xdr:to>
      <xdr:col>13</xdr:col>
      <xdr:colOff>156882</xdr:colOff>
      <xdr:row>34</xdr:row>
      <xdr:rowOff>128868</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376238</xdr:colOff>
      <xdr:row>31</xdr:row>
      <xdr:rowOff>65550</xdr:rowOff>
    </xdr:from>
    <xdr:to>
      <xdr:col>18</xdr:col>
      <xdr:colOff>62192</xdr:colOff>
      <xdr:row>34</xdr:row>
      <xdr:rowOff>37257</xdr:rowOff>
    </xdr:to>
    <xdr:sp macro="" textlink="">
      <xdr:nvSpPr>
        <xdr:cNvPr id="13" name="Rectangle: Rounded Corners 12">
          <a:hlinkClick xmlns:r="http://schemas.openxmlformats.org/officeDocument/2006/relationships" r:id="rId5"/>
          <a:extLst>
            <a:ext uri="{FF2B5EF4-FFF2-40B4-BE49-F238E27FC236}">
              <a16:creationId xmlns:a16="http://schemas.microsoft.com/office/drawing/2014/main" id="{00000000-0008-0000-0400-00000D000000}"/>
            </a:ext>
          </a:extLst>
        </xdr:cNvPr>
        <xdr:cNvSpPr/>
      </xdr:nvSpPr>
      <xdr:spPr>
        <a:xfrm>
          <a:off x="11839856" y="5713315"/>
          <a:ext cx="985836" cy="509589"/>
        </a:xfrm>
        <a:prstGeom prst="roundRect">
          <a:avLst/>
        </a:prstGeom>
        <a:solidFill>
          <a:schemeClr val="accent2"/>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Centaur" panose="02030504050205020304" pitchFamily="18" charset="0"/>
            </a:rPr>
            <a:t>Expenses and Income</a:t>
          </a:r>
        </a:p>
        <a:p>
          <a:pPr algn="ctr"/>
          <a:endParaRPr lang="en-US" sz="1200">
            <a:latin typeface="Centaur" panose="02030504050205020304" pitchFamily="18" charset="0"/>
          </a:endParaRPr>
        </a:p>
      </xdr:txBody>
    </xdr:sp>
    <xdr:clientData/>
  </xdr:twoCellAnchor>
  <xdr:twoCellAnchor>
    <xdr:from>
      <xdr:col>14</xdr:col>
      <xdr:colOff>537882</xdr:colOff>
      <xdr:row>31</xdr:row>
      <xdr:rowOff>56028</xdr:rowOff>
    </xdr:from>
    <xdr:to>
      <xdr:col>16</xdr:col>
      <xdr:colOff>242887</xdr:colOff>
      <xdr:row>34</xdr:row>
      <xdr:rowOff>18208</xdr:rowOff>
    </xdr:to>
    <xdr:sp macro="" textlink="">
      <xdr:nvSpPr>
        <xdr:cNvPr id="14" name="Rectangle: Rounded Corners 13">
          <a:hlinkClick xmlns:r="http://schemas.openxmlformats.org/officeDocument/2006/relationships" r:id="rId6"/>
          <a:extLst>
            <a:ext uri="{FF2B5EF4-FFF2-40B4-BE49-F238E27FC236}">
              <a16:creationId xmlns:a16="http://schemas.microsoft.com/office/drawing/2014/main" id="{00000000-0008-0000-0400-00000E000000}"/>
            </a:ext>
          </a:extLst>
        </xdr:cNvPr>
        <xdr:cNvSpPr/>
      </xdr:nvSpPr>
      <xdr:spPr>
        <a:xfrm>
          <a:off x="10701617" y="5703793"/>
          <a:ext cx="1004888" cy="500062"/>
        </a:xfrm>
        <a:prstGeom prst="roundRect">
          <a:avLst/>
        </a:prstGeom>
        <a:solidFill>
          <a:schemeClr val="accent2"/>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Centaur" panose="02030504050205020304" pitchFamily="18" charset="0"/>
            </a:rPr>
            <a:t>Goals</a:t>
          </a:r>
        </a:p>
      </xdr:txBody>
    </xdr:sp>
    <xdr:clientData/>
  </xdr:twoCellAnchor>
  <xdr:twoCellAnchor>
    <xdr:from>
      <xdr:col>18</xdr:col>
      <xdr:colOff>151279</xdr:colOff>
      <xdr:row>31</xdr:row>
      <xdr:rowOff>80121</xdr:rowOff>
    </xdr:from>
    <xdr:to>
      <xdr:col>19</xdr:col>
      <xdr:colOff>506226</xdr:colOff>
      <xdr:row>34</xdr:row>
      <xdr:rowOff>42301</xdr:rowOff>
    </xdr:to>
    <xdr:sp macro="" textlink="">
      <xdr:nvSpPr>
        <xdr:cNvPr id="15" name="Rectangle: Rounded Corners 14">
          <a:hlinkClick xmlns:r="http://schemas.openxmlformats.org/officeDocument/2006/relationships" r:id="rId7"/>
          <a:extLst>
            <a:ext uri="{FF2B5EF4-FFF2-40B4-BE49-F238E27FC236}">
              <a16:creationId xmlns:a16="http://schemas.microsoft.com/office/drawing/2014/main" id="{00000000-0008-0000-0400-00000F000000}"/>
            </a:ext>
          </a:extLst>
        </xdr:cNvPr>
        <xdr:cNvSpPr/>
      </xdr:nvSpPr>
      <xdr:spPr>
        <a:xfrm>
          <a:off x="12914779" y="5727886"/>
          <a:ext cx="1004888" cy="500062"/>
        </a:xfrm>
        <a:prstGeom prst="roundRect">
          <a:avLst/>
        </a:prstGeom>
        <a:solidFill>
          <a:schemeClr val="accent2"/>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Centaur" panose="02030504050205020304" pitchFamily="18" charset="0"/>
            </a:rPr>
            <a:t>My</a:t>
          </a:r>
          <a:r>
            <a:rPr lang="en-US" sz="1200" baseline="0">
              <a:latin typeface="Centaur" panose="02030504050205020304" pitchFamily="18" charset="0"/>
            </a:rPr>
            <a:t> Finances</a:t>
          </a:r>
          <a:endParaRPr lang="en-US" sz="1200">
            <a:latin typeface="Centaur" panose="02030504050205020304" pitchFamily="18" charset="0"/>
          </a:endParaRPr>
        </a:p>
      </xdr:txBody>
    </xdr:sp>
    <xdr:clientData/>
  </xdr:twoCellAnchor>
  <mc:AlternateContent xmlns:mc="http://schemas.openxmlformats.org/markup-compatibility/2006">
    <mc:Choice xmlns:a14="http://schemas.microsoft.com/office/drawing/2010/main" Requires="a14">
      <xdr:twoCellAnchor>
        <xdr:from>
          <xdr:col>16</xdr:col>
          <xdr:colOff>223838</xdr:colOff>
          <xdr:row>5</xdr:row>
          <xdr:rowOff>23813</xdr:rowOff>
        </xdr:from>
        <xdr:to>
          <xdr:col>18</xdr:col>
          <xdr:colOff>542925</xdr:colOff>
          <xdr:row>7</xdr:row>
          <xdr:rowOff>166688</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Personalized Advice</a:t>
              </a:r>
            </a:p>
          </xdr:txBody>
        </xdr:sp>
        <xdr:clientData fPrintsWithSheet="0"/>
      </xdr:twoCellAnchor>
    </mc:Choice>
    <mc:Fallback/>
  </mc:AlternateContent>
  <xdr:twoCellAnchor>
    <xdr:from>
      <xdr:col>13</xdr:col>
      <xdr:colOff>633134</xdr:colOff>
      <xdr:row>14</xdr:row>
      <xdr:rowOff>67236</xdr:rowOff>
    </xdr:from>
    <xdr:to>
      <xdr:col>21</xdr:col>
      <xdr:colOff>5604</xdr:colOff>
      <xdr:row>29</xdr:row>
      <xdr:rowOff>121025</xdr:rowOff>
    </xdr:to>
    <xdr:graphicFrame macro="">
      <xdr:nvGraphicFramePr>
        <xdr:cNvPr id="16" name="Chart 15">
          <a:extLst>
            <a:ext uri="{FF2B5EF4-FFF2-40B4-BE49-F238E27FC236}">
              <a16:creationId xmlns:a16="http://schemas.microsoft.com/office/drawing/2014/main" id="{00000000-0008-0000-04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E7806BF-92F4-46D0-819F-1171063D1365}" name="FinAdv1" displayName="FinAdv1" ref="A2:D8" totalsRowShown="0">
  <autoFilter ref="A2:D8" xr:uid="{8E7806BF-92F4-46D0-819F-1171063D1365}"/>
  <tableColumns count="4">
    <tableColumn id="5" xr3:uid="{FBA29822-244A-4083-BF8C-892766DEC3DE}" name="Category" dataDxfId="2">
      <calculatedColumnFormula>Goals!L9</calculatedColumnFormula>
    </tableColumn>
    <tableColumn id="1" xr3:uid="{283A0811-699E-4830-8B8E-5DA1BC02177B}" name="Goal" dataDxfId="1">
      <calculatedColumnFormula>Goals!N9</calculatedColumnFormula>
    </tableColumn>
    <tableColumn id="2" xr3:uid="{B377A618-B690-4179-ACBB-5D9FD4DEC19B}" name="Weekly Spending" dataDxfId="0">
      <calculatedColumnFormula>'My Finances'!K11</calculatedColumnFormula>
    </tableColumn>
    <tableColumn id="3" xr3:uid="{00200E43-48D6-4D8D-95DB-4B5548EBF0E8}" name="Status of Goal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61255B6-9138-498C-9AAB-5C09F3D242EB}" name="incexp" displayName="incexp" ref="A10:C13" totalsRowShown="0" dataCellStyle="Currency">
  <autoFilter ref="A10:C13" xr:uid="{961255B6-9138-498C-9AAB-5C09F3D242EB}"/>
  <tableColumns count="3">
    <tableColumn id="4" xr3:uid="{EFF53205-8AF6-44B4-80E4-69E2F6CD07A1}" name="Month" dataCellStyle="Currency"/>
    <tableColumn id="2" xr3:uid="{0352F1AE-8F50-4048-B66D-971A0D4ECD27}" name="Income" dataCellStyle="Currency"/>
    <tableColumn id="3" xr3:uid="{8C71CD8C-846C-4902-9A2C-ED378F3CF156}" name="Expenses" dataCellStyle="Currenc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6.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CF22B-8A8C-4C81-9CB5-089F24B20E0F}">
  <sheetPr codeName="Sheet5"/>
  <dimension ref="B2:P27"/>
  <sheetViews>
    <sheetView workbookViewId="0">
      <selection activeCell="G1" sqref="G1"/>
    </sheetView>
  </sheetViews>
  <sheetFormatPr defaultRowHeight="14.25" x14ac:dyDescent="0.45"/>
  <cols>
    <col min="1" max="6" width="9.06640625" style="1"/>
    <col min="7" max="7" width="9.53125" style="1" customWidth="1"/>
    <col min="8" max="16384" width="9.06640625" style="1"/>
  </cols>
  <sheetData>
    <row r="2" spans="2:16" ht="14.25" customHeight="1" x14ac:dyDescent="0.45">
      <c r="B2" s="62" t="s">
        <v>61</v>
      </c>
      <c r="C2" s="62"/>
      <c r="D2" s="62"/>
      <c r="E2" s="62"/>
      <c r="F2" s="62"/>
      <c r="G2" s="62"/>
      <c r="H2" s="62"/>
      <c r="I2" s="62"/>
    </row>
    <row r="3" spans="2:16" ht="14.25" customHeight="1" x14ac:dyDescent="0.45">
      <c r="B3" s="62"/>
      <c r="C3" s="62"/>
      <c r="D3" s="62"/>
      <c r="E3" s="62"/>
      <c r="F3" s="62"/>
      <c r="G3" s="62"/>
      <c r="H3" s="62"/>
      <c r="I3" s="62"/>
    </row>
    <row r="4" spans="2:16" x14ac:dyDescent="0.45">
      <c r="B4" s="40"/>
      <c r="C4" s="40"/>
      <c r="D4" s="40"/>
      <c r="E4" s="40"/>
      <c r="F4" s="40"/>
      <c r="G4" s="40"/>
      <c r="H4" s="40"/>
      <c r="I4" s="40"/>
    </row>
    <row r="5" spans="2:16" ht="14.25" customHeight="1" x14ac:dyDescent="0.45">
      <c r="B5" s="63" t="s">
        <v>62</v>
      </c>
      <c r="C5" s="63"/>
      <c r="D5" s="63"/>
      <c r="E5" s="63"/>
      <c r="F5" s="63"/>
      <c r="G5" s="63"/>
      <c r="H5" s="63"/>
      <c r="I5" s="63"/>
    </row>
    <row r="6" spans="2:16" ht="15.75" x14ac:dyDescent="0.5">
      <c r="B6" s="63"/>
      <c r="C6" s="63"/>
      <c r="D6" s="63"/>
      <c r="E6" s="63"/>
      <c r="F6" s="63"/>
      <c r="G6" s="63"/>
      <c r="H6" s="63"/>
      <c r="I6" s="63"/>
      <c r="K6" s="61" t="s">
        <v>7</v>
      </c>
      <c r="L6" s="61"/>
      <c r="M6" s="61"/>
      <c r="N6" s="61"/>
      <c r="O6" s="61"/>
      <c r="P6" s="61"/>
    </row>
    <row r="7" spans="2:16" x14ac:dyDescent="0.45">
      <c r="B7" s="63"/>
      <c r="C7" s="63"/>
      <c r="D7" s="63"/>
      <c r="E7" s="63"/>
      <c r="F7" s="63"/>
      <c r="G7" s="63"/>
      <c r="H7" s="63"/>
      <c r="I7" s="63"/>
    </row>
    <row r="8" spans="2:16" x14ac:dyDescent="0.45">
      <c r="B8" s="63"/>
      <c r="C8" s="63"/>
      <c r="D8" s="63"/>
      <c r="E8" s="63"/>
      <c r="F8" s="63"/>
      <c r="G8" s="63"/>
      <c r="H8" s="63"/>
      <c r="I8" s="63"/>
    </row>
    <row r="9" spans="2:16" x14ac:dyDescent="0.45">
      <c r="B9" s="40"/>
      <c r="C9" s="40"/>
      <c r="D9" s="40"/>
      <c r="E9" s="48"/>
      <c r="F9" s="40"/>
      <c r="G9" s="40"/>
      <c r="H9" s="40"/>
      <c r="I9" s="40"/>
    </row>
    <row r="10" spans="2:16" ht="15.75" x14ac:dyDescent="0.5">
      <c r="B10" s="64" t="s">
        <v>45</v>
      </c>
      <c r="C10" s="64"/>
      <c r="D10" s="64"/>
      <c r="E10" s="64"/>
      <c r="F10" s="64"/>
      <c r="G10" s="64"/>
      <c r="H10" s="64"/>
      <c r="I10" s="64"/>
    </row>
    <row r="11" spans="2:16" ht="14.25" customHeight="1" x14ac:dyDescent="0.5">
      <c r="B11" s="57" t="s">
        <v>46</v>
      </c>
      <c r="C11" s="57"/>
      <c r="D11" s="57"/>
      <c r="E11" s="57"/>
      <c r="F11" s="57"/>
      <c r="G11" s="57"/>
      <c r="H11" s="57"/>
      <c r="I11" s="57"/>
    </row>
    <row r="12" spans="2:16" ht="14.25" customHeight="1" x14ac:dyDescent="0.45">
      <c r="B12" s="65" t="s">
        <v>47</v>
      </c>
      <c r="C12" s="65"/>
      <c r="D12" s="65"/>
      <c r="E12" s="65"/>
      <c r="F12" s="65"/>
      <c r="G12" s="65"/>
      <c r="H12" s="46"/>
      <c r="I12" s="46"/>
    </row>
    <row r="13" spans="2:16" x14ac:dyDescent="0.45">
      <c r="B13" s="65"/>
      <c r="C13" s="65"/>
      <c r="D13" s="65"/>
      <c r="E13" s="65"/>
      <c r="F13" s="65"/>
      <c r="G13" s="65"/>
      <c r="H13" s="46"/>
      <c r="I13" s="46"/>
    </row>
    <row r="14" spans="2:16" x14ac:dyDescent="0.45">
      <c r="B14" s="65"/>
      <c r="C14" s="65"/>
      <c r="D14" s="65"/>
      <c r="E14" s="65"/>
      <c r="F14" s="65"/>
      <c r="G14" s="65"/>
      <c r="H14" s="46"/>
      <c r="I14" s="46"/>
    </row>
    <row r="15" spans="2:16" x14ac:dyDescent="0.45">
      <c r="B15" s="46"/>
      <c r="C15" s="46"/>
      <c r="D15" s="46"/>
      <c r="E15" s="46"/>
      <c r="F15" s="46"/>
      <c r="G15" s="46"/>
      <c r="H15" s="40"/>
      <c r="I15" s="40"/>
    </row>
    <row r="16" spans="2:16" ht="15.75" x14ac:dyDescent="0.5">
      <c r="B16" s="57" t="s">
        <v>48</v>
      </c>
      <c r="C16" s="57"/>
      <c r="D16" s="57"/>
      <c r="E16" s="57"/>
      <c r="F16" s="57"/>
      <c r="G16" s="57"/>
      <c r="H16" s="57"/>
      <c r="I16" s="57"/>
    </row>
    <row r="17" spans="2:9" ht="15.75" customHeight="1" x14ac:dyDescent="0.45">
      <c r="B17" s="60" t="s">
        <v>49</v>
      </c>
      <c r="C17" s="60"/>
      <c r="D17" s="60"/>
      <c r="E17" s="60"/>
      <c r="F17" s="60"/>
      <c r="G17" s="60"/>
      <c r="H17" s="60"/>
      <c r="I17" s="60"/>
    </row>
    <row r="18" spans="2:9" ht="14.25" customHeight="1" x14ac:dyDescent="0.45">
      <c r="B18" s="47"/>
      <c r="C18" s="47"/>
      <c r="D18" s="47"/>
      <c r="E18" s="47"/>
      <c r="F18" s="47"/>
      <c r="G18" s="47"/>
      <c r="H18" s="47"/>
      <c r="I18" s="47"/>
    </row>
    <row r="19" spans="2:9" ht="15.75" x14ac:dyDescent="0.5">
      <c r="B19" s="57" t="s">
        <v>50</v>
      </c>
      <c r="C19" s="57"/>
      <c r="D19" s="57"/>
      <c r="E19" s="57"/>
      <c r="F19" s="57"/>
      <c r="G19" s="57"/>
      <c r="H19" s="57"/>
      <c r="I19" s="57"/>
    </row>
    <row r="20" spans="2:9" x14ac:dyDescent="0.45">
      <c r="B20" s="58" t="s">
        <v>51</v>
      </c>
      <c r="C20" s="58"/>
      <c r="D20" s="58"/>
      <c r="E20" s="58"/>
      <c r="F20" s="58"/>
      <c r="G20" s="58"/>
      <c r="H20" s="58"/>
      <c r="I20" s="58"/>
    </row>
    <row r="21" spans="2:9" x14ac:dyDescent="0.45">
      <c r="B21" s="40"/>
      <c r="C21" s="40"/>
      <c r="D21" s="40"/>
      <c r="E21" s="40"/>
      <c r="F21" s="40"/>
      <c r="G21" s="40"/>
      <c r="H21" s="40"/>
      <c r="I21" s="40"/>
    </row>
    <row r="22" spans="2:9" ht="15.75" x14ac:dyDescent="0.5">
      <c r="B22" s="57" t="s">
        <v>63</v>
      </c>
      <c r="C22" s="57"/>
      <c r="D22" s="57"/>
      <c r="E22" s="57"/>
      <c r="F22" s="57"/>
      <c r="G22" s="57"/>
      <c r="H22" s="57"/>
      <c r="I22" s="57"/>
    </row>
    <row r="23" spans="2:9" x14ac:dyDescent="0.45">
      <c r="B23" s="58" t="s">
        <v>64</v>
      </c>
      <c r="C23" s="58"/>
      <c r="D23" s="58"/>
      <c r="E23" s="58"/>
      <c r="F23" s="58"/>
      <c r="G23" s="58"/>
      <c r="H23" s="58"/>
      <c r="I23" s="58"/>
    </row>
    <row r="24" spans="2:9" x14ac:dyDescent="0.45">
      <c r="B24" s="40"/>
      <c r="C24" s="40"/>
      <c r="D24" s="40"/>
      <c r="E24" s="40"/>
      <c r="F24" s="40"/>
      <c r="G24" s="40"/>
      <c r="H24" s="40"/>
      <c r="I24" s="40"/>
    </row>
    <row r="25" spans="2:9" ht="15.75" x14ac:dyDescent="0.5">
      <c r="B25" s="57" t="s">
        <v>65</v>
      </c>
      <c r="C25" s="57"/>
      <c r="D25" s="57"/>
      <c r="E25" s="57"/>
      <c r="F25" s="57"/>
      <c r="G25" s="57"/>
      <c r="H25" s="57"/>
      <c r="I25" s="57"/>
    </row>
    <row r="26" spans="2:9" x14ac:dyDescent="0.45">
      <c r="B26" s="59" t="s">
        <v>66</v>
      </c>
      <c r="C26" s="59"/>
      <c r="D26" s="59"/>
      <c r="E26" s="59"/>
      <c r="F26" s="59"/>
      <c r="G26" s="59"/>
      <c r="H26" s="59"/>
      <c r="I26" s="59"/>
    </row>
    <row r="27" spans="2:9" x14ac:dyDescent="0.45">
      <c r="B27" s="59"/>
      <c r="C27" s="59"/>
      <c r="D27" s="59"/>
      <c r="E27" s="59"/>
      <c r="F27" s="59"/>
      <c r="G27" s="59"/>
      <c r="H27" s="59"/>
      <c r="I27" s="59"/>
    </row>
  </sheetData>
  <mergeCells count="14">
    <mergeCell ref="B16:I16"/>
    <mergeCell ref="B17:I17"/>
    <mergeCell ref="B19:I19"/>
    <mergeCell ref="K6:P6"/>
    <mergeCell ref="B2:I3"/>
    <mergeCell ref="B5:I8"/>
    <mergeCell ref="B10:I10"/>
    <mergeCell ref="B11:I11"/>
    <mergeCell ref="B12:G14"/>
    <mergeCell ref="B22:I22"/>
    <mergeCell ref="B23:I23"/>
    <mergeCell ref="B25:I25"/>
    <mergeCell ref="B26:I27"/>
    <mergeCell ref="B20:I2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setInitialAccountBalance_Button">
                <anchor moveWithCells="1" sizeWithCells="1">
                  <from>
                    <xdr:col>7</xdr:col>
                    <xdr:colOff>52388</xdr:colOff>
                    <xdr:row>11</xdr:row>
                    <xdr:rowOff>9525</xdr:rowOff>
                  </from>
                  <to>
                    <xdr:col>8</xdr:col>
                    <xdr:colOff>485775</xdr:colOff>
                    <xdr:row>14</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EBA61-2BDE-4C30-98DE-5DC76A187758}">
  <sheetPr codeName="Sheet4"/>
  <dimension ref="A1:Q25"/>
  <sheetViews>
    <sheetView tabSelected="1" workbookViewId="0">
      <selection activeCell="P14" sqref="P14"/>
    </sheetView>
  </sheetViews>
  <sheetFormatPr defaultRowHeight="18" x14ac:dyDescent="0.55000000000000004"/>
  <cols>
    <col min="1" max="1" width="15.73046875" style="14" customWidth="1"/>
    <col min="2" max="2" width="8.86328125" style="14" bestFit="1" customWidth="1"/>
    <col min="3" max="4" width="9.59765625" style="14" customWidth="1"/>
    <col min="5" max="12" width="9.06640625" style="14"/>
    <col min="13" max="13" width="10.19921875" style="14" customWidth="1"/>
    <col min="14" max="14" width="9.796875" style="14" customWidth="1"/>
    <col min="15" max="16384" width="9.06640625" style="14"/>
  </cols>
  <sheetData>
    <row r="1" spans="1:17" ht="5" customHeight="1" x14ac:dyDescent="0.55000000000000004"/>
    <row r="2" spans="1:17" x14ac:dyDescent="0.55000000000000004">
      <c r="A2" s="80" t="s">
        <v>37</v>
      </c>
      <c r="B2" s="80"/>
      <c r="C2" s="80"/>
      <c r="D2" s="80"/>
      <c r="E2" s="80"/>
      <c r="F2" s="80"/>
      <c r="G2" s="80"/>
      <c r="H2" s="80"/>
      <c r="J2" s="80" t="s">
        <v>40</v>
      </c>
      <c r="K2" s="81"/>
      <c r="L2" s="81"/>
      <c r="M2" s="81"/>
      <c r="N2" s="81"/>
      <c r="O2" s="81"/>
      <c r="P2" s="81"/>
      <c r="Q2" s="81"/>
    </row>
    <row r="3" spans="1:17" x14ac:dyDescent="0.55000000000000004">
      <c r="A3" s="85" t="s">
        <v>36</v>
      </c>
      <c r="B3" s="85"/>
      <c r="C3" s="85"/>
      <c r="D3" s="85"/>
      <c r="E3" s="85"/>
      <c r="F3" s="85"/>
      <c r="G3" s="85"/>
      <c r="H3" s="85"/>
      <c r="J3" s="28"/>
      <c r="K3" s="28"/>
      <c r="L3" s="28"/>
      <c r="M3" s="28"/>
      <c r="N3" s="28"/>
      <c r="O3" s="28"/>
      <c r="P3" s="28"/>
      <c r="Q3" s="28"/>
    </row>
    <row r="4" spans="1:17" x14ac:dyDescent="0.55000000000000004">
      <c r="A4" s="82" t="s">
        <v>41</v>
      </c>
      <c r="B4" s="82"/>
      <c r="C4" s="82"/>
      <c r="D4" s="82"/>
      <c r="E4" s="82"/>
      <c r="F4" s="82"/>
      <c r="G4" s="82"/>
      <c r="H4" s="82"/>
      <c r="J4" s="28"/>
      <c r="K4" s="28"/>
      <c r="L4" s="86" t="s">
        <v>27</v>
      </c>
      <c r="M4" s="86"/>
      <c r="N4" s="86"/>
      <c r="O4" s="28"/>
      <c r="P4" s="28"/>
      <c r="Q4" s="28"/>
    </row>
    <row r="5" spans="1:17" x14ac:dyDescent="0.55000000000000004">
      <c r="A5" s="82"/>
      <c r="B5" s="82"/>
      <c r="C5" s="82"/>
      <c r="D5" s="82"/>
      <c r="E5" s="82"/>
      <c r="F5" s="82"/>
      <c r="G5" s="82"/>
      <c r="H5" s="82"/>
      <c r="J5" s="28"/>
      <c r="K5" s="28"/>
      <c r="L5" s="28"/>
      <c r="M5" s="28"/>
      <c r="N5" s="28"/>
      <c r="O5" s="28"/>
      <c r="P5" s="28"/>
      <c r="Q5" s="28"/>
    </row>
    <row r="6" spans="1:17" x14ac:dyDescent="0.55000000000000004">
      <c r="A6" s="82"/>
      <c r="B6" s="82"/>
      <c r="C6" s="82"/>
      <c r="D6" s="82"/>
      <c r="E6" s="82"/>
      <c r="F6" s="82"/>
      <c r="G6" s="82"/>
      <c r="H6" s="82"/>
      <c r="J6" s="28"/>
      <c r="K6" s="28"/>
      <c r="L6" s="77" t="s">
        <v>44</v>
      </c>
      <c r="M6" s="77"/>
      <c r="N6" s="77"/>
      <c r="O6" s="77"/>
      <c r="P6" s="28"/>
      <c r="Q6" s="28"/>
    </row>
    <row r="7" spans="1:17" ht="13.9" customHeight="1" x14ac:dyDescent="0.55000000000000004">
      <c r="A7" s="28"/>
      <c r="B7" s="28"/>
      <c r="C7" s="28"/>
      <c r="D7" s="28"/>
      <c r="E7" s="28"/>
      <c r="F7" s="28"/>
      <c r="G7" s="28"/>
      <c r="H7" s="28"/>
      <c r="J7" s="28"/>
      <c r="K7" s="28"/>
      <c r="L7" s="28"/>
      <c r="M7" s="83"/>
      <c r="N7" s="83"/>
      <c r="O7" s="29"/>
      <c r="P7" s="28"/>
      <c r="Q7" s="28"/>
    </row>
    <row r="8" spans="1:17" x14ac:dyDescent="0.55000000000000004">
      <c r="A8" s="28"/>
      <c r="B8" s="28"/>
      <c r="C8" s="28"/>
      <c r="D8" s="28"/>
      <c r="E8" s="28"/>
      <c r="F8" s="28"/>
      <c r="G8" s="32"/>
      <c r="H8" s="28"/>
      <c r="J8" s="28"/>
      <c r="K8" s="28"/>
      <c r="L8" s="76" t="s">
        <v>2</v>
      </c>
      <c r="M8" s="73"/>
      <c r="N8" s="76" t="s">
        <v>39</v>
      </c>
      <c r="O8" s="73"/>
      <c r="P8" s="28"/>
      <c r="Q8" s="28"/>
    </row>
    <row r="9" spans="1:17" x14ac:dyDescent="0.55000000000000004">
      <c r="A9" s="28"/>
      <c r="B9" s="28"/>
      <c r="C9" s="28"/>
      <c r="D9" s="28"/>
      <c r="E9" s="28"/>
      <c r="F9" s="28"/>
      <c r="G9" s="32"/>
      <c r="H9" s="28"/>
      <c r="J9" s="28"/>
      <c r="K9" s="28"/>
      <c r="L9" s="69" t="s">
        <v>15</v>
      </c>
      <c r="M9" s="70"/>
      <c r="N9" s="78"/>
      <c r="O9" s="79"/>
      <c r="P9" s="28"/>
      <c r="Q9" s="28"/>
    </row>
    <row r="10" spans="1:17" x14ac:dyDescent="0.55000000000000004">
      <c r="J10" s="28"/>
      <c r="K10" s="28"/>
      <c r="L10" s="30" t="s">
        <v>18</v>
      </c>
      <c r="M10" s="31"/>
      <c r="N10" s="78"/>
      <c r="O10" s="79"/>
      <c r="P10" s="28"/>
      <c r="Q10" s="28"/>
    </row>
    <row r="11" spans="1:17" x14ac:dyDescent="0.55000000000000004">
      <c r="A11" s="80" t="s">
        <v>38</v>
      </c>
      <c r="B11" s="80"/>
      <c r="C11" s="80"/>
      <c r="D11" s="80"/>
      <c r="E11" s="80"/>
      <c r="F11" s="80"/>
      <c r="G11" s="80"/>
      <c r="H11" s="80"/>
      <c r="J11" s="28"/>
      <c r="K11" s="28"/>
      <c r="L11" s="69" t="s">
        <v>19</v>
      </c>
      <c r="M11" s="70"/>
      <c r="N11" s="78"/>
      <c r="O11" s="79"/>
      <c r="P11" s="28"/>
      <c r="Q11" s="28"/>
    </row>
    <row r="12" spans="1:17" x14ac:dyDescent="0.55000000000000004">
      <c r="A12" s="28"/>
      <c r="B12" s="84" t="s">
        <v>67</v>
      </c>
      <c r="C12" s="84"/>
      <c r="D12" s="84"/>
      <c r="E12" s="84"/>
      <c r="F12" s="84"/>
      <c r="G12" s="84"/>
      <c r="H12" s="28"/>
      <c r="J12" s="28"/>
      <c r="K12" s="28"/>
      <c r="L12" s="30" t="s">
        <v>20</v>
      </c>
      <c r="M12" s="31"/>
      <c r="N12" s="78"/>
      <c r="O12" s="79"/>
      <c r="P12" s="28"/>
      <c r="Q12" s="28"/>
    </row>
    <row r="13" spans="1:17" x14ac:dyDescent="0.55000000000000004">
      <c r="A13" s="28"/>
      <c r="B13" s="84"/>
      <c r="C13" s="84"/>
      <c r="D13" s="84"/>
      <c r="E13" s="84"/>
      <c r="F13" s="84"/>
      <c r="G13" s="84"/>
      <c r="H13" s="28"/>
      <c r="J13" s="28"/>
      <c r="K13" s="28"/>
      <c r="L13" s="30" t="s">
        <v>21</v>
      </c>
      <c r="M13" s="31"/>
      <c r="N13" s="78"/>
      <c r="O13" s="79"/>
      <c r="P13" s="28"/>
      <c r="Q13" s="28"/>
    </row>
    <row r="14" spans="1:17" x14ac:dyDescent="0.55000000000000004">
      <c r="A14" s="28"/>
      <c r="B14" s="87" t="s">
        <v>53</v>
      </c>
      <c r="C14" s="87"/>
      <c r="D14" s="87"/>
      <c r="E14" s="87"/>
      <c r="F14" s="87"/>
      <c r="G14" s="87"/>
      <c r="H14" s="28"/>
      <c r="J14" s="28"/>
      <c r="K14" s="28"/>
      <c r="L14" s="69" t="s">
        <v>43</v>
      </c>
      <c r="M14" s="70"/>
      <c r="N14" s="78"/>
      <c r="O14" s="79"/>
      <c r="P14" s="28"/>
      <c r="Q14" s="28"/>
    </row>
    <row r="15" spans="1:17" x14ac:dyDescent="0.55000000000000004">
      <c r="A15" s="28"/>
      <c r="B15" s="28"/>
      <c r="C15" s="76" t="s">
        <v>2</v>
      </c>
      <c r="D15" s="73"/>
      <c r="E15" s="76" t="s">
        <v>39</v>
      </c>
      <c r="F15" s="73"/>
      <c r="G15" s="28"/>
      <c r="H15" s="28"/>
      <c r="J15" s="28"/>
      <c r="K15" s="28"/>
      <c r="L15" s="28"/>
      <c r="M15" s="28"/>
      <c r="N15" s="28"/>
      <c r="O15" s="28"/>
      <c r="P15" s="28"/>
      <c r="Q15" s="28"/>
    </row>
    <row r="16" spans="1:17" x14ac:dyDescent="0.55000000000000004">
      <c r="A16" s="28"/>
      <c r="B16" s="28"/>
      <c r="C16" s="69" t="s">
        <v>15</v>
      </c>
      <c r="D16" s="70"/>
      <c r="E16" s="66">
        <v>70</v>
      </c>
      <c r="F16" s="67"/>
      <c r="G16" s="28"/>
      <c r="H16" s="28"/>
      <c r="J16" s="28"/>
      <c r="K16" s="28"/>
      <c r="L16" s="68" t="s">
        <v>54</v>
      </c>
      <c r="M16" s="68"/>
      <c r="N16" s="76" t="s">
        <v>39</v>
      </c>
      <c r="O16" s="73"/>
      <c r="P16" s="28"/>
      <c r="Q16" s="28"/>
    </row>
    <row r="17" spans="1:17" x14ac:dyDescent="0.55000000000000004">
      <c r="A17" s="28"/>
      <c r="B17" s="28"/>
      <c r="C17" s="30" t="s">
        <v>18</v>
      </c>
      <c r="D17" s="31"/>
      <c r="E17" s="66">
        <v>55</v>
      </c>
      <c r="F17" s="67"/>
      <c r="G17" s="28"/>
      <c r="H17" s="33"/>
      <c r="J17" s="28"/>
      <c r="K17" s="28"/>
      <c r="L17" s="69" t="s">
        <v>16</v>
      </c>
      <c r="M17" s="70"/>
      <c r="N17" s="72"/>
      <c r="O17" s="73"/>
      <c r="P17" s="28"/>
      <c r="Q17" s="28"/>
    </row>
    <row r="18" spans="1:17" x14ac:dyDescent="0.55000000000000004">
      <c r="A18" s="28"/>
      <c r="B18" s="28"/>
      <c r="C18" s="30" t="s">
        <v>19</v>
      </c>
      <c r="D18" s="31"/>
      <c r="E18" s="66">
        <v>20</v>
      </c>
      <c r="F18" s="67"/>
      <c r="G18" s="28"/>
      <c r="H18" s="33"/>
      <c r="J18" s="28"/>
      <c r="K18" s="28"/>
      <c r="L18" s="74"/>
      <c r="M18" s="74"/>
      <c r="N18" s="75"/>
      <c r="O18" s="75"/>
      <c r="P18" s="28"/>
      <c r="Q18" s="28"/>
    </row>
    <row r="19" spans="1:17" ht="18" customHeight="1" x14ac:dyDescent="0.55000000000000004">
      <c r="A19" s="28"/>
      <c r="B19" s="28"/>
      <c r="C19" s="30" t="s">
        <v>20</v>
      </c>
      <c r="D19" s="31"/>
      <c r="E19" s="66">
        <v>20</v>
      </c>
      <c r="F19" s="67"/>
      <c r="G19" s="28"/>
      <c r="H19" s="28"/>
      <c r="J19" s="28"/>
      <c r="K19" s="28"/>
      <c r="L19" s="71"/>
      <c r="M19" s="71"/>
      <c r="N19" s="71"/>
      <c r="O19" s="71"/>
      <c r="P19" s="28"/>
      <c r="Q19" s="28"/>
    </row>
    <row r="20" spans="1:17" x14ac:dyDescent="0.55000000000000004">
      <c r="A20" s="28"/>
      <c r="B20" s="28"/>
      <c r="C20" s="30" t="s">
        <v>21</v>
      </c>
      <c r="D20" s="31"/>
      <c r="E20" s="66">
        <v>10</v>
      </c>
      <c r="F20" s="67"/>
      <c r="G20" s="28"/>
      <c r="H20" s="28"/>
      <c r="J20" s="28"/>
      <c r="K20" s="28"/>
      <c r="L20" s="71"/>
      <c r="M20" s="71"/>
      <c r="N20" s="71"/>
      <c r="O20" s="71"/>
      <c r="P20" s="28"/>
      <c r="Q20" s="28"/>
    </row>
    <row r="21" spans="1:17" x14ac:dyDescent="0.55000000000000004">
      <c r="A21" s="28"/>
      <c r="B21" s="28"/>
      <c r="C21" s="30" t="s">
        <v>43</v>
      </c>
      <c r="D21" s="31"/>
      <c r="E21" s="66">
        <f>SUM(E16:F20)</f>
        <v>175</v>
      </c>
      <c r="F21" s="67"/>
      <c r="G21" s="28"/>
      <c r="H21" s="28"/>
      <c r="J21" s="28"/>
      <c r="K21" s="28"/>
      <c r="L21" s="71"/>
      <c r="M21" s="71"/>
      <c r="N21" s="71"/>
      <c r="O21" s="71"/>
      <c r="P21" s="28"/>
      <c r="Q21" s="28"/>
    </row>
    <row r="22" spans="1:17" x14ac:dyDescent="0.55000000000000004">
      <c r="A22" s="28"/>
      <c r="B22" s="84" t="s">
        <v>52</v>
      </c>
      <c r="C22" s="84"/>
      <c r="D22" s="84"/>
      <c r="E22" s="84"/>
      <c r="F22" s="84"/>
      <c r="G22" s="84"/>
      <c r="H22" s="28"/>
      <c r="J22" s="28"/>
      <c r="K22" s="28"/>
      <c r="L22" s="71"/>
      <c r="M22" s="71"/>
      <c r="N22" s="71"/>
      <c r="O22" s="71"/>
      <c r="P22" s="28"/>
      <c r="Q22" s="28"/>
    </row>
    <row r="23" spans="1:17" x14ac:dyDescent="0.55000000000000004">
      <c r="A23" s="28"/>
      <c r="B23" s="84"/>
      <c r="C23" s="84"/>
      <c r="D23" s="84"/>
      <c r="E23" s="84"/>
      <c r="F23" s="84"/>
      <c r="G23" s="84"/>
      <c r="H23" s="28"/>
      <c r="J23" s="28"/>
      <c r="K23" s="28"/>
      <c r="L23" s="84"/>
      <c r="M23" s="84"/>
      <c r="N23" s="84"/>
      <c r="O23" s="84"/>
      <c r="P23" s="28"/>
      <c r="Q23" s="28"/>
    </row>
    <row r="24" spans="1:17" x14ac:dyDescent="0.55000000000000004">
      <c r="A24" s="28"/>
      <c r="B24" s="28"/>
      <c r="C24" s="69" t="s">
        <v>16</v>
      </c>
      <c r="D24" s="70"/>
      <c r="E24" s="91" t="s">
        <v>42</v>
      </c>
      <c r="F24" s="92"/>
      <c r="G24" s="28"/>
      <c r="H24" s="28"/>
      <c r="I24" s="33"/>
      <c r="J24" s="28"/>
      <c r="K24" s="28"/>
      <c r="L24" s="84"/>
      <c r="M24" s="84"/>
      <c r="N24" s="84"/>
      <c r="O24" s="84"/>
      <c r="P24" s="28"/>
      <c r="Q24" s="28"/>
    </row>
    <row r="25" spans="1:17" x14ac:dyDescent="0.55000000000000004">
      <c r="A25" s="28"/>
      <c r="B25" s="28"/>
      <c r="C25" s="69" t="s">
        <v>17</v>
      </c>
      <c r="D25" s="70"/>
      <c r="E25" s="89">
        <v>1100</v>
      </c>
      <c r="F25" s="90"/>
      <c r="G25" s="28"/>
      <c r="H25" s="28"/>
      <c r="J25" s="28"/>
      <c r="K25" s="88" t="s">
        <v>55</v>
      </c>
      <c r="L25" s="88"/>
      <c r="M25" s="88"/>
      <c r="N25" s="88"/>
      <c r="O25" s="88"/>
      <c r="P25" s="88"/>
      <c r="Q25" s="28"/>
    </row>
  </sheetData>
  <mergeCells count="44">
    <mergeCell ref="L23:O24"/>
    <mergeCell ref="K25:P25"/>
    <mergeCell ref="B22:G23"/>
    <mergeCell ref="E25:F25"/>
    <mergeCell ref="C25:D25"/>
    <mergeCell ref="C24:D24"/>
    <mergeCell ref="E24:F24"/>
    <mergeCell ref="J2:Q2"/>
    <mergeCell ref="A4:H6"/>
    <mergeCell ref="M7:N7"/>
    <mergeCell ref="B12:G13"/>
    <mergeCell ref="C16:D16"/>
    <mergeCell ref="A3:H3"/>
    <mergeCell ref="A2:H2"/>
    <mergeCell ref="A11:H11"/>
    <mergeCell ref="L8:M8"/>
    <mergeCell ref="L9:M9"/>
    <mergeCell ref="L4:N4"/>
    <mergeCell ref="E15:F15"/>
    <mergeCell ref="E16:F16"/>
    <mergeCell ref="C15:D15"/>
    <mergeCell ref="N13:O13"/>
    <mergeCell ref="B14:G14"/>
    <mergeCell ref="L11:M11"/>
    <mergeCell ref="N16:O16"/>
    <mergeCell ref="L6:O6"/>
    <mergeCell ref="N8:O8"/>
    <mergeCell ref="N11:O11"/>
    <mergeCell ref="N12:O12"/>
    <mergeCell ref="L14:M14"/>
    <mergeCell ref="N9:O9"/>
    <mergeCell ref="N14:O14"/>
    <mergeCell ref="N10:O10"/>
    <mergeCell ref="E17:F17"/>
    <mergeCell ref="E18:F18"/>
    <mergeCell ref="E20:F20"/>
    <mergeCell ref="E21:F21"/>
    <mergeCell ref="L16:M16"/>
    <mergeCell ref="L17:M17"/>
    <mergeCell ref="L19:O22"/>
    <mergeCell ref="E19:F19"/>
    <mergeCell ref="N17:O17"/>
    <mergeCell ref="L18:M18"/>
    <mergeCell ref="N18:O18"/>
  </mergeCells>
  <conditionalFormatting sqref="L19:O22">
    <cfRule type="expression" priority="1">
      <formula>$N$14-$E$21</formula>
    </cfRule>
  </conditionalFormatting>
  <hyperlinks>
    <hyperlink ref="K25:P25" location="'Expenses&amp;Incomes'!A1" display="Expenses and Income" xr:uid="{8BA290D9-B293-47ED-8C0B-925DA3432FB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Button1_Click">
                <anchor moveWithCells="1" sizeWithCells="1">
                  <from>
                    <xdr:col>2</xdr:col>
                    <xdr:colOff>395288</xdr:colOff>
                    <xdr:row>5</xdr:row>
                    <xdr:rowOff>204788</xdr:rowOff>
                  </from>
                  <to>
                    <xdr:col>4</xdr:col>
                    <xdr:colOff>457200</xdr:colOff>
                    <xdr:row>8</xdr:row>
                    <xdr:rowOff>100013</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49"/>
  <sheetViews>
    <sheetView workbookViewId="0">
      <selection activeCell="A2" sqref="A2:G5"/>
    </sheetView>
  </sheetViews>
  <sheetFormatPr defaultRowHeight="15.75" x14ac:dyDescent="0.5"/>
  <cols>
    <col min="1" max="1" width="10.59765625" style="2" bestFit="1" customWidth="1"/>
    <col min="2" max="2" width="8.1328125" style="2" bestFit="1" customWidth="1"/>
    <col min="3" max="3" width="13.3984375" style="2" bestFit="1" customWidth="1"/>
    <col min="4" max="4" width="12.06640625" style="2" bestFit="1" customWidth="1"/>
    <col min="5" max="5" width="9.73046875" style="25" bestFit="1" customWidth="1"/>
    <col min="6" max="6" width="15.3984375" style="2" bestFit="1" customWidth="1"/>
    <col min="7" max="7" width="19.3984375" style="2" bestFit="1" customWidth="1"/>
    <col min="8" max="16384" width="9.06640625" style="1"/>
  </cols>
  <sheetData>
    <row r="1" spans="1:7" x14ac:dyDescent="0.5">
      <c r="A1" s="44" t="s">
        <v>0</v>
      </c>
      <c r="B1" s="44" t="s">
        <v>1</v>
      </c>
      <c r="C1" s="44" t="s">
        <v>2</v>
      </c>
      <c r="D1" s="44" t="s">
        <v>3</v>
      </c>
      <c r="E1" s="45" t="s">
        <v>5</v>
      </c>
      <c r="F1" s="45" t="s">
        <v>6</v>
      </c>
      <c r="G1" s="45" t="s">
        <v>28</v>
      </c>
    </row>
    <row r="2" spans="1:7" x14ac:dyDescent="0.5">
      <c r="A2" s="24"/>
      <c r="E2" s="42"/>
    </row>
    <row r="3" spans="1:7" x14ac:dyDescent="0.5">
      <c r="A3" s="24"/>
      <c r="E3" s="42"/>
    </row>
    <row r="4" spans="1:7" x14ac:dyDescent="0.5">
      <c r="A4" s="24"/>
      <c r="E4" s="42"/>
    </row>
    <row r="5" spans="1:7" x14ac:dyDescent="0.5">
      <c r="A5" s="24"/>
      <c r="E5" s="42"/>
    </row>
    <row r="6" spans="1:7" x14ac:dyDescent="0.5">
      <c r="A6" s="24"/>
      <c r="E6" s="42"/>
    </row>
    <row r="7" spans="1:7" x14ac:dyDescent="0.5">
      <c r="A7" s="24"/>
      <c r="E7" s="42"/>
    </row>
    <row r="8" spans="1:7" x14ac:dyDescent="0.5">
      <c r="A8" s="24"/>
    </row>
    <row r="9" spans="1:7" x14ac:dyDescent="0.5">
      <c r="A9" s="24"/>
      <c r="E9" s="42"/>
    </row>
    <row r="10" spans="1:7" x14ac:dyDescent="0.5">
      <c r="A10" s="24"/>
      <c r="E10" s="42"/>
    </row>
    <row r="11" spans="1:7" x14ac:dyDescent="0.5">
      <c r="A11" s="24"/>
    </row>
    <row r="12" spans="1:7" x14ac:dyDescent="0.5">
      <c r="A12" s="24"/>
    </row>
    <row r="13" spans="1:7" x14ac:dyDescent="0.5">
      <c r="A13" s="24"/>
    </row>
    <row r="14" spans="1:7" x14ac:dyDescent="0.5">
      <c r="A14" s="24"/>
    </row>
    <row r="15" spans="1:7" x14ac:dyDescent="0.5">
      <c r="A15" s="24"/>
    </row>
    <row r="16" spans="1:7" x14ac:dyDescent="0.5">
      <c r="A16" s="24"/>
      <c r="E16" s="42"/>
    </row>
    <row r="17" spans="1:1" x14ac:dyDescent="0.5">
      <c r="A17" s="24"/>
    </row>
    <row r="18" spans="1:1" x14ac:dyDescent="0.5">
      <c r="A18" s="24"/>
    </row>
    <row r="19" spans="1:1" x14ac:dyDescent="0.5">
      <c r="A19" s="24"/>
    </row>
    <row r="20" spans="1:1" x14ac:dyDescent="0.5">
      <c r="A20" s="24"/>
    </row>
    <row r="21" spans="1:1" x14ac:dyDescent="0.5">
      <c r="A21" s="24"/>
    </row>
    <row r="22" spans="1:1" x14ac:dyDescent="0.5">
      <c r="A22" s="24"/>
    </row>
    <row r="23" spans="1:1" x14ac:dyDescent="0.5">
      <c r="A23" s="24"/>
    </row>
    <row r="24" spans="1:1" x14ac:dyDescent="0.5">
      <c r="A24" s="24"/>
    </row>
    <row r="25" spans="1:1" x14ac:dyDescent="0.5">
      <c r="A25" s="24"/>
    </row>
    <row r="26" spans="1:1" x14ac:dyDescent="0.5">
      <c r="A26" s="24"/>
    </row>
    <row r="27" spans="1:1" x14ac:dyDescent="0.5">
      <c r="A27" s="24"/>
    </row>
    <row r="28" spans="1:1" x14ac:dyDescent="0.5">
      <c r="A28" s="24"/>
    </row>
    <row r="29" spans="1:1" x14ac:dyDescent="0.5">
      <c r="A29" s="24"/>
    </row>
    <row r="30" spans="1:1" x14ac:dyDescent="0.5">
      <c r="A30" s="24"/>
    </row>
    <row r="31" spans="1:1" x14ac:dyDescent="0.5">
      <c r="A31" s="24"/>
    </row>
    <row r="32" spans="1:1" x14ac:dyDescent="0.5">
      <c r="A32" s="24"/>
    </row>
    <row r="33" spans="1:5" x14ac:dyDescent="0.5">
      <c r="A33" s="24"/>
    </row>
    <row r="34" spans="1:5" x14ac:dyDescent="0.5">
      <c r="A34" s="24"/>
    </row>
    <row r="35" spans="1:5" x14ac:dyDescent="0.5">
      <c r="A35" s="24"/>
    </row>
    <row r="36" spans="1:5" x14ac:dyDescent="0.5">
      <c r="A36" s="24"/>
    </row>
    <row r="37" spans="1:5" x14ac:dyDescent="0.5">
      <c r="A37" s="24"/>
    </row>
    <row r="38" spans="1:5" x14ac:dyDescent="0.5">
      <c r="A38" s="24"/>
    </row>
    <row r="39" spans="1:5" x14ac:dyDescent="0.5">
      <c r="A39" s="24"/>
    </row>
    <row r="40" spans="1:5" x14ac:dyDescent="0.5">
      <c r="A40" s="24"/>
    </row>
    <row r="41" spans="1:5" x14ac:dyDescent="0.5">
      <c r="A41" s="24"/>
    </row>
    <row r="42" spans="1:5" x14ac:dyDescent="0.5">
      <c r="A42" s="24"/>
    </row>
    <row r="43" spans="1:5" x14ac:dyDescent="0.5">
      <c r="A43" s="24"/>
      <c r="E43" s="42"/>
    </row>
    <row r="44" spans="1:5" x14ac:dyDescent="0.5">
      <c r="A44" s="24"/>
      <c r="E44" s="42"/>
    </row>
    <row r="45" spans="1:5" x14ac:dyDescent="0.5">
      <c r="A45" s="24"/>
      <c r="E45" s="42"/>
    </row>
    <row r="46" spans="1:5" x14ac:dyDescent="0.5">
      <c r="A46" s="24"/>
      <c r="E46" s="42"/>
    </row>
    <row r="47" spans="1:5" x14ac:dyDescent="0.5">
      <c r="A47" s="24"/>
      <c r="E47" s="42"/>
    </row>
    <row r="48" spans="1:5" x14ac:dyDescent="0.5">
      <c r="A48" s="24"/>
      <c r="E48" s="42"/>
    </row>
    <row r="49" spans="1:1" x14ac:dyDescent="0.5">
      <c r="A49" s="24"/>
    </row>
  </sheetData>
  <autoFilter ref="A1:G2" xr:uid="{00000000-0001-0000-0000-000000000000}">
    <sortState xmlns:xlrd2="http://schemas.microsoft.com/office/spreadsheetml/2017/richdata2" ref="A2:G4">
      <sortCondition descending="1" ref="A1:A2"/>
    </sortState>
  </autoFilter>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learExpensesIncomes">
                <anchor moveWithCells="1" sizeWithCells="1">
                  <from>
                    <xdr:col>7</xdr:col>
                    <xdr:colOff>600075</xdr:colOff>
                    <xdr:row>10</xdr:row>
                    <xdr:rowOff>19050</xdr:rowOff>
                  </from>
                  <to>
                    <xdr:col>10</xdr:col>
                    <xdr:colOff>314325</xdr:colOff>
                    <xdr:row>12</xdr:row>
                    <xdr:rowOff>19050</xdr:rowOff>
                  </to>
                </anchor>
              </controlPr>
            </control>
          </mc:Choice>
        </mc:AlternateContent>
        <mc:AlternateContent xmlns:mc="http://schemas.openxmlformats.org/markup-compatibility/2006">
          <mc:Choice Requires="x14">
            <control shapeId="1027" r:id="rId5" name="Button 3">
              <controlPr defaultSize="0" print="0" autoFill="0" autoPict="0" macro="[0]!Button3_Click">
                <anchor moveWithCells="1" sizeWithCells="1">
                  <from>
                    <xdr:col>7</xdr:col>
                    <xdr:colOff>609600</xdr:colOff>
                    <xdr:row>1</xdr:row>
                    <xdr:rowOff>190500</xdr:rowOff>
                  </from>
                  <to>
                    <xdr:col>10</xdr:col>
                    <xdr:colOff>314325</xdr:colOff>
                    <xdr:row>3</xdr:row>
                    <xdr:rowOff>180975</xdr:rowOff>
                  </to>
                </anchor>
              </controlPr>
            </control>
          </mc:Choice>
        </mc:AlternateContent>
        <mc:AlternateContent xmlns:mc="http://schemas.openxmlformats.org/markup-compatibility/2006">
          <mc:Choice Requires="x14">
            <control shapeId="1028" r:id="rId6" name="Button 4">
              <controlPr defaultSize="0" print="0" autoFill="0" autoPict="0" macro="[0]!Incomes_Button4_Click">
                <anchor moveWithCells="1" sizeWithCells="1">
                  <from>
                    <xdr:col>7</xdr:col>
                    <xdr:colOff>600075</xdr:colOff>
                    <xdr:row>4</xdr:row>
                    <xdr:rowOff>85725</xdr:rowOff>
                  </from>
                  <to>
                    <xdr:col>10</xdr:col>
                    <xdr:colOff>309563</xdr:colOff>
                    <xdr:row>6</xdr:row>
                    <xdr:rowOff>147638</xdr:rowOff>
                  </to>
                </anchor>
              </controlPr>
            </control>
          </mc:Choice>
        </mc:AlternateContent>
        <mc:AlternateContent xmlns:mc="http://schemas.openxmlformats.org/markup-compatibility/2006">
          <mc:Choice Requires="x14">
            <control shapeId="1032" r:id="rId7" name="Button 8">
              <controlPr defaultSize="0" print="0" autoFill="0" autoPict="0" macro="[0]!tuitionForm">
                <anchor moveWithCells="1" sizeWithCells="1">
                  <from>
                    <xdr:col>7</xdr:col>
                    <xdr:colOff>590550</xdr:colOff>
                    <xdr:row>7</xdr:row>
                    <xdr:rowOff>90488</xdr:rowOff>
                  </from>
                  <to>
                    <xdr:col>10</xdr:col>
                    <xdr:colOff>309563</xdr:colOff>
                    <xdr:row>9</xdr:row>
                    <xdr:rowOff>100013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D7151D-BE12-496A-9A9D-B9D9479BB346}">
  <sheetPr codeName="Sheet6"/>
  <dimension ref="A1:O32"/>
  <sheetViews>
    <sheetView zoomScale="90" zoomScaleNormal="90" workbookViewId="0">
      <selection activeCell="C19" sqref="C19"/>
    </sheetView>
  </sheetViews>
  <sheetFormatPr defaultRowHeight="14.25" x14ac:dyDescent="0.45"/>
  <cols>
    <col min="1" max="1" width="13.19921875" style="1" customWidth="1"/>
    <col min="2" max="2" width="14.3984375" style="1" customWidth="1"/>
    <col min="3" max="3" width="18.73046875" style="1" bestFit="1" customWidth="1"/>
    <col min="4" max="4" width="18.265625" style="1" customWidth="1"/>
    <col min="5" max="5" width="12.19921875" style="1" customWidth="1"/>
    <col min="6" max="6" width="16.1328125" style="1" bestFit="1" customWidth="1"/>
    <col min="7" max="7" width="20.46484375" style="1" bestFit="1" customWidth="1"/>
    <col min="8" max="8" width="9.06640625" style="1"/>
    <col min="9" max="10" width="13.9296875" style="1" customWidth="1"/>
    <col min="11" max="11" width="14.33203125" style="1" customWidth="1"/>
    <col min="12" max="16384" width="9.06640625" style="1"/>
  </cols>
  <sheetData>
    <row r="1" spans="1:15" ht="14.65" customHeight="1" x14ac:dyDescent="0.45">
      <c r="A1" s="103" t="s">
        <v>8</v>
      </c>
      <c r="B1" s="104"/>
      <c r="C1" s="104"/>
      <c r="D1" s="104"/>
      <c r="E1" s="104"/>
      <c r="F1" s="104"/>
      <c r="G1" s="105"/>
    </row>
    <row r="2" spans="1:15" x14ac:dyDescent="0.45">
      <c r="A2" s="106"/>
      <c r="B2" s="107"/>
      <c r="C2" s="107"/>
      <c r="D2" s="107"/>
      <c r="E2" s="107"/>
      <c r="F2" s="107"/>
      <c r="G2" s="108"/>
      <c r="I2" s="3"/>
    </row>
    <row r="3" spans="1:15" x14ac:dyDescent="0.45">
      <c r="A3" s="109"/>
      <c r="B3" s="110"/>
      <c r="C3" s="110"/>
      <c r="D3" s="110"/>
      <c r="E3" s="110"/>
      <c r="F3" s="110"/>
      <c r="G3" s="111"/>
    </row>
    <row r="4" spans="1:15" x14ac:dyDescent="0.45">
      <c r="A4" s="4"/>
      <c r="G4" s="5"/>
    </row>
    <row r="5" spans="1:15" ht="18" x14ac:dyDescent="0.55000000000000004">
      <c r="A5" s="98" t="s">
        <v>9</v>
      </c>
      <c r="B5" s="98"/>
      <c r="C5" s="18" t="s">
        <v>14</v>
      </c>
      <c r="D5" s="18" t="s">
        <v>22</v>
      </c>
      <c r="E5" s="18" t="s">
        <v>23</v>
      </c>
      <c r="F5" s="18" t="s">
        <v>24</v>
      </c>
      <c r="G5" s="18" t="s">
        <v>32</v>
      </c>
      <c r="H5" s="2"/>
      <c r="L5" s="17"/>
      <c r="M5" s="17"/>
      <c r="N5" s="17"/>
      <c r="O5" s="22"/>
    </row>
    <row r="6" spans="1:15" ht="18" x14ac:dyDescent="0.55000000000000004">
      <c r="A6" s="112" t="s">
        <v>10</v>
      </c>
      <c r="B6" s="113"/>
      <c r="C6" s="6"/>
      <c r="D6" s="7"/>
      <c r="E6" s="7"/>
      <c r="F6" s="7"/>
      <c r="G6" s="9"/>
      <c r="H6" s="2"/>
      <c r="I6" s="14" t="s">
        <v>29</v>
      </c>
      <c r="J6" s="14" t="s">
        <v>33</v>
      </c>
    </row>
    <row r="7" spans="1:15" ht="18" x14ac:dyDescent="0.55000000000000004">
      <c r="A7" s="94" t="s">
        <v>11</v>
      </c>
      <c r="B7" s="95"/>
      <c r="C7" s="6"/>
      <c r="D7" s="7"/>
      <c r="E7" s="7"/>
      <c r="F7" s="7"/>
      <c r="G7" s="9"/>
      <c r="H7" s="2"/>
      <c r="I7" s="23">
        <f ca="1">TODAY()</f>
        <v>45327</v>
      </c>
      <c r="J7" s="23">
        <v>45255</v>
      </c>
    </row>
    <row r="8" spans="1:15" ht="18" x14ac:dyDescent="0.55000000000000004">
      <c r="A8" s="94" t="s">
        <v>12</v>
      </c>
      <c r="B8" s="95"/>
      <c r="C8" s="6"/>
      <c r="D8" s="7"/>
      <c r="E8" s="7"/>
      <c r="F8" s="7"/>
      <c r="G8" s="9"/>
      <c r="H8" s="2"/>
    </row>
    <row r="9" spans="1:15" ht="18" x14ac:dyDescent="0.55000000000000004">
      <c r="A9" s="114" t="s">
        <v>31</v>
      </c>
      <c r="B9" s="115"/>
      <c r="C9" s="11"/>
      <c r="D9" s="9"/>
      <c r="E9" s="9"/>
      <c r="F9" s="10"/>
      <c r="G9" s="12"/>
      <c r="H9" s="2"/>
    </row>
    <row r="10" spans="1:15" ht="18" x14ac:dyDescent="0.55000000000000004">
      <c r="A10" s="13"/>
      <c r="B10" s="14"/>
      <c r="C10" s="14"/>
      <c r="D10" s="14"/>
      <c r="E10" s="14"/>
      <c r="F10" s="14"/>
      <c r="G10" s="15"/>
      <c r="H10" s="2"/>
      <c r="I10" s="93" t="s">
        <v>26</v>
      </c>
      <c r="J10" s="93"/>
      <c r="K10" s="26" t="s">
        <v>35</v>
      </c>
    </row>
    <row r="11" spans="1:15" ht="18" x14ac:dyDescent="0.55000000000000004">
      <c r="A11" s="99" t="s">
        <v>13</v>
      </c>
      <c r="B11" s="99"/>
      <c r="C11" s="19" t="s">
        <v>14</v>
      </c>
      <c r="D11" s="19" t="s">
        <v>22</v>
      </c>
      <c r="E11" s="19" t="s">
        <v>23</v>
      </c>
      <c r="F11" s="19" t="s">
        <v>24</v>
      </c>
      <c r="G11" s="19" t="s">
        <v>32</v>
      </c>
      <c r="H11" s="2"/>
      <c r="I11" s="94" t="s">
        <v>15</v>
      </c>
      <c r="J11" s="95"/>
      <c r="K11" s="27"/>
    </row>
    <row r="12" spans="1:15" ht="18" x14ac:dyDescent="0.55000000000000004">
      <c r="A12" s="93" t="s">
        <v>15</v>
      </c>
      <c r="B12" s="93"/>
      <c r="C12" s="8"/>
      <c r="D12" s="37"/>
      <c r="E12" s="37"/>
      <c r="F12" s="37"/>
      <c r="G12" s="36"/>
      <c r="H12" s="2"/>
      <c r="I12" s="94" t="s">
        <v>18</v>
      </c>
      <c r="J12" s="95"/>
      <c r="K12" s="27"/>
    </row>
    <row r="13" spans="1:15" ht="18" x14ac:dyDescent="0.55000000000000004">
      <c r="A13" s="93" t="s">
        <v>16</v>
      </c>
      <c r="B13" s="93"/>
      <c r="C13" s="8"/>
      <c r="D13" s="37"/>
      <c r="E13" s="37"/>
      <c r="F13" s="37"/>
      <c r="G13" s="36"/>
      <c r="H13" s="2"/>
      <c r="I13" s="39" t="s">
        <v>19</v>
      </c>
      <c r="J13" s="39"/>
      <c r="K13" s="27"/>
    </row>
    <row r="14" spans="1:15" ht="18" x14ac:dyDescent="0.55000000000000004">
      <c r="A14" s="93" t="s">
        <v>17</v>
      </c>
      <c r="B14" s="93"/>
      <c r="C14" s="8"/>
      <c r="D14" s="37"/>
      <c r="E14" s="37"/>
      <c r="F14" s="37"/>
      <c r="G14" s="36"/>
      <c r="H14" s="2"/>
      <c r="I14" s="93" t="s">
        <v>20</v>
      </c>
      <c r="J14" s="93"/>
      <c r="K14" s="27"/>
    </row>
    <row r="15" spans="1:15" ht="18" x14ac:dyDescent="0.55000000000000004">
      <c r="A15" s="93" t="s">
        <v>18</v>
      </c>
      <c r="B15" s="93"/>
      <c r="C15" s="8"/>
      <c r="D15" s="37"/>
      <c r="E15" s="37"/>
      <c r="F15" s="37"/>
      <c r="G15" s="36"/>
      <c r="H15" s="2"/>
      <c r="I15" s="93" t="s">
        <v>21</v>
      </c>
      <c r="J15" s="93"/>
      <c r="K15" s="27"/>
    </row>
    <row r="16" spans="1:15" ht="18" x14ac:dyDescent="0.55000000000000004">
      <c r="A16" s="93" t="s">
        <v>19</v>
      </c>
      <c r="B16" s="93"/>
      <c r="C16" s="8"/>
      <c r="D16" s="37"/>
      <c r="E16" s="37"/>
      <c r="F16" s="37"/>
      <c r="G16" s="36"/>
      <c r="H16" s="2"/>
      <c r="K16" s="41"/>
    </row>
    <row r="17" spans="1:11" ht="18" x14ac:dyDescent="0.55000000000000004">
      <c r="A17" s="93" t="s">
        <v>20</v>
      </c>
      <c r="B17" s="93"/>
      <c r="C17" s="8"/>
      <c r="D17" s="37"/>
      <c r="E17" s="37"/>
      <c r="F17" s="37"/>
      <c r="G17" s="36"/>
      <c r="H17" s="2"/>
    </row>
    <row r="18" spans="1:11" ht="18" x14ac:dyDescent="0.55000000000000004">
      <c r="A18" s="93" t="s">
        <v>21</v>
      </c>
      <c r="B18" s="93"/>
      <c r="C18" s="8"/>
      <c r="D18" s="37"/>
      <c r="E18" s="37"/>
      <c r="F18" s="37"/>
      <c r="G18" s="36"/>
      <c r="H18" s="2"/>
      <c r="I18" s="100"/>
      <c r="J18" s="100"/>
    </row>
    <row r="19" spans="1:11" ht="18" x14ac:dyDescent="0.55000000000000004">
      <c r="A19" s="101" t="s">
        <v>30</v>
      </c>
      <c r="B19" s="101"/>
      <c r="C19" s="16"/>
      <c r="D19" s="36"/>
      <c r="E19" s="36"/>
      <c r="F19" s="36"/>
      <c r="G19" s="38"/>
      <c r="H19" s="2"/>
      <c r="I19" s="96"/>
      <c r="J19" s="96"/>
      <c r="K19" s="35"/>
    </row>
    <row r="20" spans="1:11" ht="18" x14ac:dyDescent="0.55000000000000004">
      <c r="H20" s="2"/>
      <c r="I20" s="96"/>
      <c r="J20" s="96"/>
      <c r="K20" s="35"/>
    </row>
    <row r="21" spans="1:11" ht="18" x14ac:dyDescent="0.55000000000000004">
      <c r="A21" s="102" t="s">
        <v>34</v>
      </c>
      <c r="B21" s="102"/>
      <c r="C21" s="8"/>
      <c r="D21" s="7"/>
      <c r="E21" s="7"/>
      <c r="F21" s="7"/>
      <c r="G21" s="8"/>
      <c r="H21" s="2"/>
    </row>
    <row r="22" spans="1:11" ht="18" x14ac:dyDescent="0.55000000000000004">
      <c r="A22" s="97" t="s">
        <v>25</v>
      </c>
      <c r="B22" s="97"/>
      <c r="C22" s="20"/>
      <c r="D22" s="21"/>
      <c r="E22" s="21"/>
      <c r="F22" s="21"/>
      <c r="G22" s="43"/>
    </row>
    <row r="25" spans="1:11" ht="18" x14ac:dyDescent="0.55000000000000004">
      <c r="A25" s="96"/>
      <c r="B25" s="96"/>
      <c r="C25" s="34"/>
    </row>
    <row r="26" spans="1:11" ht="18" x14ac:dyDescent="0.55000000000000004">
      <c r="A26" s="96"/>
      <c r="B26" s="96"/>
      <c r="C26" s="35"/>
    </row>
    <row r="27" spans="1:11" ht="18" x14ac:dyDescent="0.55000000000000004">
      <c r="A27" s="96"/>
      <c r="B27" s="96"/>
      <c r="C27" s="35"/>
    </row>
    <row r="28" spans="1:11" ht="18" x14ac:dyDescent="0.55000000000000004">
      <c r="A28" s="96"/>
      <c r="B28" s="96"/>
      <c r="C28" s="34"/>
    </row>
    <row r="29" spans="1:11" ht="18" x14ac:dyDescent="0.55000000000000004">
      <c r="A29" s="96"/>
      <c r="B29" s="96"/>
      <c r="C29" s="35"/>
    </row>
    <row r="30" spans="1:11" ht="18" x14ac:dyDescent="0.55000000000000004">
      <c r="A30" s="96"/>
      <c r="B30" s="96"/>
      <c r="C30" s="34"/>
    </row>
    <row r="31" spans="1:11" ht="18" x14ac:dyDescent="0.55000000000000004">
      <c r="A31" s="96"/>
      <c r="B31" s="96"/>
      <c r="C31" s="35"/>
    </row>
    <row r="32" spans="1:11" ht="18" x14ac:dyDescent="0.55000000000000004">
      <c r="A32" s="96"/>
      <c r="B32" s="96"/>
      <c r="C32" s="34"/>
    </row>
  </sheetData>
  <mergeCells count="33">
    <mergeCell ref="A1:G3"/>
    <mergeCell ref="A6:B6"/>
    <mergeCell ref="A7:B7"/>
    <mergeCell ref="A8:B8"/>
    <mergeCell ref="A9:B9"/>
    <mergeCell ref="A30:B30"/>
    <mergeCell ref="A31:B31"/>
    <mergeCell ref="A32:B32"/>
    <mergeCell ref="A27:B27"/>
    <mergeCell ref="A26:B26"/>
    <mergeCell ref="A28:B28"/>
    <mergeCell ref="A29:B29"/>
    <mergeCell ref="A17:B17"/>
    <mergeCell ref="A18:B18"/>
    <mergeCell ref="A25:B25"/>
    <mergeCell ref="A19:B19"/>
    <mergeCell ref="A21:B21"/>
    <mergeCell ref="I10:J10"/>
    <mergeCell ref="I11:J11"/>
    <mergeCell ref="I19:J19"/>
    <mergeCell ref="A22:B22"/>
    <mergeCell ref="A5:B5"/>
    <mergeCell ref="A11:B11"/>
    <mergeCell ref="A12:B12"/>
    <mergeCell ref="A13:B13"/>
    <mergeCell ref="A14:B14"/>
    <mergeCell ref="A15:B15"/>
    <mergeCell ref="A16:B16"/>
    <mergeCell ref="I20:J20"/>
    <mergeCell ref="I18:J18"/>
    <mergeCell ref="I12:J12"/>
    <mergeCell ref="I14:J14"/>
    <mergeCell ref="I15:J15"/>
  </mergeCells>
  <conditionalFormatting sqref="D22:G22">
    <cfRule type="cellIs" dxfId="4" priority="1" operator="greaterThanOrEqual">
      <formula>0</formula>
    </cfRule>
    <cfRule type="cellIs" dxfId="3" priority="2" operator="lessThan">
      <formula>0</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8ABF3-2254-4FD4-BF40-FBA7A23721CE}">
  <sheetPr codeName="Sheet3"/>
  <dimension ref="A1:T22"/>
  <sheetViews>
    <sheetView zoomScale="85" workbookViewId="0">
      <selection sqref="A1:B2"/>
    </sheetView>
  </sheetViews>
  <sheetFormatPr defaultRowHeight="14.25" x14ac:dyDescent="0.45"/>
  <cols>
    <col min="1" max="1" width="15.3984375" style="1" bestFit="1" customWidth="1"/>
    <col min="2" max="7" width="9.06640625" style="1"/>
    <col min="8" max="8" width="9.6640625" style="1" customWidth="1"/>
    <col min="9" max="9" width="9.06640625" style="1"/>
    <col min="10" max="10" width="17.19921875" style="1" customWidth="1"/>
    <col min="11" max="16384" width="9.06640625" style="1"/>
  </cols>
  <sheetData>
    <row r="1" spans="1:20" ht="18" customHeight="1" x14ac:dyDescent="0.45">
      <c r="A1" s="119" t="s">
        <v>4</v>
      </c>
      <c r="B1" s="119"/>
    </row>
    <row r="2" spans="1:20" x14ac:dyDescent="0.45">
      <c r="A2" s="119"/>
      <c r="B2" s="119"/>
    </row>
    <row r="3" spans="1:20" ht="14.25" customHeight="1" x14ac:dyDescent="0.45">
      <c r="G3" s="49"/>
      <c r="P3" s="117"/>
      <c r="Q3" s="118"/>
      <c r="R3" s="118"/>
      <c r="S3" s="118"/>
      <c r="T3" s="118"/>
    </row>
    <row r="4" spans="1:20" x14ac:dyDescent="0.45">
      <c r="P4" s="118"/>
      <c r="Q4" s="118"/>
      <c r="R4" s="118"/>
      <c r="S4" s="118"/>
      <c r="T4" s="118"/>
    </row>
    <row r="5" spans="1:20" ht="17.25" customHeight="1" x14ac:dyDescent="0.45">
      <c r="P5" s="51"/>
      <c r="Q5" s="51"/>
      <c r="R5" s="51"/>
      <c r="S5" s="51"/>
      <c r="T5" s="51"/>
    </row>
    <row r="6" spans="1:20" ht="14.25" customHeight="1" x14ac:dyDescent="0.45">
      <c r="P6" s="51"/>
      <c r="Q6" s="51"/>
      <c r="R6" s="51"/>
      <c r="S6" s="51"/>
      <c r="T6" s="51"/>
    </row>
    <row r="7" spans="1:20" ht="14.25" customHeight="1" x14ac:dyDescent="0.45">
      <c r="P7" s="51"/>
      <c r="Q7" s="52"/>
      <c r="R7" s="52"/>
      <c r="S7" s="52"/>
      <c r="T7" s="52"/>
    </row>
    <row r="8" spans="1:20" x14ac:dyDescent="0.45">
      <c r="P8" s="52"/>
      <c r="Q8" s="52"/>
      <c r="R8" s="52"/>
      <c r="S8" s="52"/>
      <c r="T8" s="52"/>
    </row>
    <row r="9" spans="1:20" ht="14.25" customHeight="1" x14ac:dyDescent="0.45">
      <c r="P9" s="51"/>
      <c r="Q9" s="52"/>
      <c r="R9" s="52"/>
      <c r="S9" s="52"/>
      <c r="T9" s="52"/>
    </row>
    <row r="10" spans="1:20" x14ac:dyDescent="0.45">
      <c r="P10" s="52"/>
      <c r="Q10" s="52"/>
      <c r="R10" s="52"/>
      <c r="S10" s="52"/>
      <c r="T10" s="52"/>
    </row>
    <row r="11" spans="1:20" x14ac:dyDescent="0.45">
      <c r="P11" s="53"/>
      <c r="Q11" s="52"/>
      <c r="R11" s="52"/>
      <c r="S11" s="52"/>
      <c r="T11" s="52"/>
    </row>
    <row r="12" spans="1:20" x14ac:dyDescent="0.45">
      <c r="P12" s="52"/>
      <c r="Q12" s="52"/>
      <c r="R12" s="52"/>
      <c r="S12" s="52"/>
      <c r="T12" s="52"/>
    </row>
    <row r="13" spans="1:20" x14ac:dyDescent="0.45">
      <c r="P13" s="52"/>
      <c r="Q13" s="52"/>
      <c r="R13" s="52"/>
      <c r="S13" s="52"/>
      <c r="T13" s="52"/>
    </row>
    <row r="14" spans="1:20" x14ac:dyDescent="0.45">
      <c r="P14" s="52"/>
      <c r="Q14" s="52"/>
      <c r="R14" s="52"/>
      <c r="S14" s="52"/>
      <c r="T14" s="52"/>
    </row>
    <row r="15" spans="1:20" x14ac:dyDescent="0.45">
      <c r="P15" s="52"/>
      <c r="Q15" s="52"/>
      <c r="R15" s="52"/>
      <c r="S15" s="52"/>
      <c r="T15" s="52"/>
    </row>
    <row r="16" spans="1:20" x14ac:dyDescent="0.45">
      <c r="P16" s="52"/>
      <c r="Q16" s="52"/>
      <c r="R16" s="52"/>
      <c r="S16" s="52"/>
      <c r="T16" s="52"/>
    </row>
    <row r="17" spans="16:20" x14ac:dyDescent="0.45">
      <c r="P17" s="50"/>
      <c r="Q17" s="50"/>
      <c r="R17" s="50"/>
      <c r="S17" s="50"/>
      <c r="T17" s="50"/>
    </row>
    <row r="18" spans="16:20" x14ac:dyDescent="0.45">
      <c r="P18" s="50"/>
      <c r="Q18" s="50"/>
      <c r="R18" s="50"/>
      <c r="S18" s="50"/>
      <c r="T18" s="50"/>
    </row>
    <row r="19" spans="16:20" x14ac:dyDescent="0.45">
      <c r="P19" s="50"/>
      <c r="Q19" s="50"/>
      <c r="R19" s="50"/>
      <c r="S19" s="50"/>
      <c r="T19" s="50"/>
    </row>
    <row r="20" spans="16:20" x14ac:dyDescent="0.45">
      <c r="P20" s="116"/>
      <c r="Q20" s="116"/>
      <c r="R20" s="116"/>
      <c r="S20" s="116"/>
      <c r="T20" s="116"/>
    </row>
    <row r="21" spans="16:20" x14ac:dyDescent="0.45">
      <c r="P21" s="116"/>
      <c r="Q21" s="116"/>
      <c r="R21" s="116"/>
      <c r="S21" s="116"/>
      <c r="T21" s="116"/>
    </row>
    <row r="22" spans="16:20" x14ac:dyDescent="0.45">
      <c r="P22" s="116"/>
      <c r="Q22" s="116"/>
      <c r="R22" s="116"/>
      <c r="S22" s="116"/>
      <c r="T22" s="116"/>
    </row>
  </sheetData>
  <mergeCells count="3">
    <mergeCell ref="P20:T22"/>
    <mergeCell ref="P3:T4"/>
    <mergeCell ref="A1:B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5" r:id="rId3" name="Button 3">
              <controlPr defaultSize="0" print="0" autoFill="0" autoPict="0" macro="[0]!FinancialAdvice_Button3_Click">
                <anchor moveWithCells="1" sizeWithCells="1">
                  <from>
                    <xdr:col>2</xdr:col>
                    <xdr:colOff>238125</xdr:colOff>
                    <xdr:row>0</xdr:row>
                    <xdr:rowOff>128588</xdr:rowOff>
                  </from>
                  <to>
                    <xdr:col>5</xdr:col>
                    <xdr:colOff>547688</xdr:colOff>
                    <xdr:row>2</xdr:row>
                    <xdr:rowOff>128588</xdr:rowOff>
                  </to>
                </anchor>
              </controlPr>
            </control>
          </mc:Choice>
        </mc:AlternateContent>
        <mc:AlternateContent xmlns:mc="http://schemas.openxmlformats.org/markup-compatibility/2006">
          <mc:Choice Requires="x14">
            <control shapeId="3076" r:id="rId4" name="Button 4">
              <controlPr defaultSize="0" print="0" autoFill="0" autoPict="0" macro="[0]!FinAdv">
                <anchor moveWithCells="1" sizeWithCells="1">
                  <from>
                    <xdr:col>16</xdr:col>
                    <xdr:colOff>223838</xdr:colOff>
                    <xdr:row>5</xdr:row>
                    <xdr:rowOff>23813</xdr:rowOff>
                  </from>
                  <to>
                    <xdr:col>18</xdr:col>
                    <xdr:colOff>542925</xdr:colOff>
                    <xdr:row>7</xdr:row>
                    <xdr:rowOff>166688</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88071-81B8-43E3-99E2-34A080AF2450}">
  <sheetPr codeName="Sheet2"/>
  <dimension ref="A1:D15"/>
  <sheetViews>
    <sheetView workbookViewId="0">
      <selection activeCell="A30" sqref="A30"/>
    </sheetView>
  </sheetViews>
  <sheetFormatPr defaultRowHeight="14.25" x14ac:dyDescent="0.45"/>
  <cols>
    <col min="1" max="1" width="19.19921875" bestFit="1" customWidth="1"/>
    <col min="2" max="2" width="10.46484375" bestFit="1" customWidth="1"/>
    <col min="3" max="3" width="17.1328125" bestFit="1" customWidth="1"/>
    <col min="4" max="4" width="88.19921875" bestFit="1" customWidth="1"/>
  </cols>
  <sheetData>
    <row r="1" spans="1:4" x14ac:dyDescent="0.45">
      <c r="A1" t="s">
        <v>56</v>
      </c>
    </row>
    <row r="2" spans="1:4" x14ac:dyDescent="0.45">
      <c r="A2" t="s">
        <v>2</v>
      </c>
      <c r="B2" t="s">
        <v>57</v>
      </c>
      <c r="C2" t="s">
        <v>26</v>
      </c>
      <c r="D2" t="s">
        <v>58</v>
      </c>
    </row>
    <row r="3" spans="1:4" x14ac:dyDescent="0.45">
      <c r="A3" t="str">
        <f>Goals!L9</f>
        <v>Groceries/Food</v>
      </c>
      <c r="B3">
        <f>Goals!N9</f>
        <v>0</v>
      </c>
      <c r="C3" s="54">
        <f>'My Finances'!K11</f>
        <v>0</v>
      </c>
    </row>
    <row r="4" spans="1:4" x14ac:dyDescent="0.45">
      <c r="A4" t="str">
        <f>Goals!L10</f>
        <v>Monthly Bills</v>
      </c>
      <c r="B4">
        <f>Goals!N10</f>
        <v>0</v>
      </c>
      <c r="C4" s="54">
        <f>'My Finances'!K12</f>
        <v>0</v>
      </c>
    </row>
    <row r="5" spans="1:4" x14ac:dyDescent="0.45">
      <c r="A5" t="str">
        <f>Goals!L11</f>
        <v>Clothes and Necessities</v>
      </c>
      <c r="B5">
        <f>Goals!N11</f>
        <v>0</v>
      </c>
      <c r="C5" s="54">
        <f>'My Finances'!K13</f>
        <v>0</v>
      </c>
    </row>
    <row r="6" spans="1:4" x14ac:dyDescent="0.45">
      <c r="A6" t="str">
        <f>Goals!L12</f>
        <v>Entertainment</v>
      </c>
      <c r="B6">
        <f>Goals!N12</f>
        <v>0</v>
      </c>
      <c r="C6" s="54">
        <f>'My Finances'!K14</f>
        <v>0</v>
      </c>
    </row>
    <row r="7" spans="1:4" x14ac:dyDescent="0.45">
      <c r="A7" t="str">
        <f>Goals!L13</f>
        <v>Other</v>
      </c>
      <c r="B7">
        <f>Goals!N13</f>
        <v>0</v>
      </c>
      <c r="C7" s="54">
        <f>'My Finances'!K15</f>
        <v>0</v>
      </c>
    </row>
    <row r="8" spans="1:4" x14ac:dyDescent="0.45">
      <c r="A8" t="str">
        <f>Goals!L14</f>
        <v>Total</v>
      </c>
      <c r="B8">
        <f>Goals!N14</f>
        <v>0</v>
      </c>
      <c r="C8" s="54">
        <f>SUM(C3:C7)</f>
        <v>0</v>
      </c>
    </row>
    <row r="9" spans="1:4" x14ac:dyDescent="0.45">
      <c r="C9" s="54"/>
    </row>
    <row r="10" spans="1:4" x14ac:dyDescent="0.45">
      <c r="A10" t="s">
        <v>59</v>
      </c>
      <c r="B10" t="s">
        <v>9</v>
      </c>
      <c r="C10" t="s">
        <v>13</v>
      </c>
      <c r="D10" t="s">
        <v>60</v>
      </c>
    </row>
    <row r="11" spans="1:4" x14ac:dyDescent="0.45">
      <c r="A11" s="56"/>
      <c r="B11" s="56"/>
      <c r="C11" s="55"/>
    </row>
    <row r="12" spans="1:4" x14ac:dyDescent="0.45">
      <c r="A12" s="55"/>
      <c r="B12" s="55"/>
      <c r="C12" s="55"/>
    </row>
    <row r="13" spans="1:4" x14ac:dyDescent="0.45">
      <c r="A13" s="55"/>
      <c r="B13" s="55"/>
      <c r="C13" s="55"/>
    </row>
    <row r="15" spans="1:4" x14ac:dyDescent="0.45">
      <c r="B15" t="e">
        <f>C13/B13</f>
        <v>#DIV/0!</v>
      </c>
    </row>
  </sheetData>
  <phoneticPr fontId="24" type="noConversion"/>
  <pageMargins left="0.7" right="0.7" top="0.75" bottom="0.75" header="0.3" footer="0.3"/>
  <ignoredErrors>
    <ignoredError sqref="C8" calculatedColumn="1"/>
  </ignoredErrors>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405EFFFDA9C644486FCCB58A8EA5354" ma:contentTypeVersion="8" ma:contentTypeDescription="Create a new document." ma:contentTypeScope="" ma:versionID="f87f14b1ad7bdd05d7d1a921921b4f06">
  <xsd:schema xmlns:xsd="http://www.w3.org/2001/XMLSchema" xmlns:xs="http://www.w3.org/2001/XMLSchema" xmlns:p="http://schemas.microsoft.com/office/2006/metadata/properties" xmlns:ns2="9ad7a586-468b-408f-bee0-f7f70b225374" targetNamespace="http://schemas.microsoft.com/office/2006/metadata/properties" ma:root="true" ma:fieldsID="5614f9cf915cae2de6f82e8189391a14" ns2:_="">
    <xsd:import namespace="9ad7a586-468b-408f-bee0-f7f70b22537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ad7a586-468b-408f-bee0-f7f70b22537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1EFF735-D625-4A91-91D3-D8AC1CA2884C}">
  <ds:schemaRefs>
    <ds:schemaRef ds:uri="http://purl.org/dc/dcmitype/"/>
    <ds:schemaRef ds:uri="http://schemas.microsoft.com/office/2006/documentManagement/types"/>
    <ds:schemaRef ds:uri="http://purl.org/dc/elements/1.1/"/>
    <ds:schemaRef ds:uri="http://schemas.microsoft.com/office/2006/metadata/properties"/>
    <ds:schemaRef ds:uri="9ad7a586-468b-408f-bee0-f7f70b225374"/>
    <ds:schemaRef ds:uri="http://schemas.microsoft.com/office/infopath/2007/PartnerControls"/>
    <ds:schemaRef ds:uri="http://schemas.openxmlformats.org/package/2006/metadata/core-properties"/>
    <ds:schemaRef ds:uri="http://www.w3.org/XML/1998/namespace"/>
    <ds:schemaRef ds:uri="http://purl.org/dc/terms/"/>
  </ds:schemaRefs>
</ds:datastoreItem>
</file>

<file path=customXml/itemProps2.xml><?xml version="1.0" encoding="utf-8"?>
<ds:datastoreItem xmlns:ds="http://schemas.openxmlformats.org/officeDocument/2006/customXml" ds:itemID="{9F5BF1E7-AB1F-4F81-A675-581015BCADBC}">
  <ds:schemaRefs>
    <ds:schemaRef ds:uri="http://schemas.microsoft.com/sharepoint/v3/contenttype/forms"/>
  </ds:schemaRefs>
</ds:datastoreItem>
</file>

<file path=customXml/itemProps3.xml><?xml version="1.0" encoding="utf-8"?>
<ds:datastoreItem xmlns:ds="http://schemas.openxmlformats.org/officeDocument/2006/customXml" ds:itemID="{CF4B2EFA-4881-4417-A6C1-DDA014447C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ad7a586-468b-408f-bee0-f7f70b22537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Welcome</vt:lpstr>
      <vt:lpstr>Goals</vt:lpstr>
      <vt:lpstr>Expenses&amp;Incomes</vt:lpstr>
      <vt:lpstr>My Finances</vt:lpstr>
      <vt:lpstr>Financial Advice</vt:lpstr>
      <vt:lpstr>Hidden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Gillian Tsoi</dc:creator>
  <cp:keywords/>
  <dc:description/>
  <cp:lastModifiedBy>Elly Hayakawa</cp:lastModifiedBy>
  <cp:revision/>
  <dcterms:created xsi:type="dcterms:W3CDTF">2021-10-13T18:04:27Z</dcterms:created>
  <dcterms:modified xsi:type="dcterms:W3CDTF">2024-02-05T15:15:25Z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0x010100A405EFFFDA9C644486FCCB58A8EA5354</vt:lpwstr>
  </property>
</Properties>
</file>
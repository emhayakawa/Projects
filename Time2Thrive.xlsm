
<file path=[Content_Types].xml><?xml version="1.0" encoding="utf-8"?>
<Types xmlns="http://schemas.openxmlformats.org/package/2006/content-types">
  <Default Extension="1" ContentType="image/jpe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ofwaterloo-my.sharepoint.com/personal/ehayakaw_uwaterloo_ca/Documents/MSCI100/"/>
    </mc:Choice>
  </mc:AlternateContent>
  <xr:revisionPtr revIDLastSave="6" documentId="8_{55856B58-FE34-41EC-8AC3-EFA9633FFC70}" xr6:coauthVersionLast="47" xr6:coauthVersionMax="47" xr10:uidLastSave="{C7F84D90-96F0-42FE-9E27-E7DD175720FF}"/>
  <bookViews>
    <workbookView xWindow="-98" yWindow="-98" windowWidth="20715" windowHeight="13276" activeTab="4" xr2:uid="{FC5F6135-A0E3-42C7-991C-4D01E27CA3AF}"/>
  </bookViews>
  <sheets>
    <sheet name="Main Homepage" sheetId="1" r:id="rId1"/>
    <sheet name="Weekly Schedule" sheetId="2" r:id="rId2"/>
    <sheet name="Daily Schedule" sheetId="8" r:id="rId3"/>
    <sheet name="Goals" sheetId="9" r:id="rId4"/>
    <sheet name="PivotTables" sheetId="14" r:id="rId5"/>
    <sheet name="MasterSheet" sheetId="4" r:id="rId6"/>
    <sheet name="HiddenData" sheetId="3" r:id="rId7"/>
  </sheets>
  <functionGroups builtInGroupCount="19"/>
  <definedNames>
    <definedName name="_xlnm._FilterDatabase" localSheetId="6" hidden="1">HiddenData!$H$1:$H$5</definedName>
    <definedName name="Faculty">HiddenData!$E$2:$E$7</definedName>
    <definedName name="Intervals">HiddenData!#REF!</definedName>
    <definedName name="Months">HiddenData!$A$2:$A$13</definedName>
    <definedName name="Recurrence">HiddenData!#REF!</definedName>
    <definedName name="Scheduled_Events">HiddenData!$H$2:$H$111</definedName>
    <definedName name="SchoolYears">HiddenData!$J$2:$J$6</definedName>
    <definedName name="Times">HiddenData!$C$2:$C$74</definedName>
    <definedName name="TypeEvents">HiddenData!$F$2:$F$7</definedName>
    <definedName name="Weekdays">HiddenData!$B$2:$B$8</definedName>
    <definedName name="Years">HiddenData!$D$2:$D$79</definedName>
  </definedNames>
  <calcPr calcId="191029"/>
  <pivotCaches>
    <pivotCache cacheId="1" r:id="rId8"/>
    <pivotCache cacheId="2" r:id="rId9"/>
    <pivotCache cacheId="3" r:id="rId10"/>
    <pivotCache cacheId="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0" i="4" l="1"/>
  <c r="K60" i="4" s="1"/>
  <c r="H60" i="4"/>
  <c r="L60" i="4" s="1"/>
  <c r="P60" i="4" s="1"/>
  <c r="I60" i="4"/>
  <c r="J60" i="4"/>
  <c r="G61" i="4"/>
  <c r="H61" i="4"/>
  <c r="I61" i="4"/>
  <c r="J61" i="4" s="1"/>
  <c r="G62" i="4"/>
  <c r="H62" i="4"/>
  <c r="I62" i="4"/>
  <c r="J62" i="4" s="1"/>
  <c r="G63" i="4"/>
  <c r="H63" i="4"/>
  <c r="L63" i="4" s="1"/>
  <c r="P63" i="4" s="1"/>
  <c r="I63" i="4"/>
  <c r="J63" i="4" s="1"/>
  <c r="K63" i="4" s="1"/>
  <c r="G64" i="4"/>
  <c r="H64" i="4"/>
  <c r="I64" i="4"/>
  <c r="J64" i="4" s="1"/>
  <c r="K64" i="4" s="1"/>
  <c r="G65" i="4"/>
  <c r="K65" i="4" s="1"/>
  <c r="H65" i="4"/>
  <c r="M65" i="4" s="1"/>
  <c r="I65" i="4"/>
  <c r="J65" i="4"/>
  <c r="G66" i="4"/>
  <c r="H66" i="4"/>
  <c r="L66" i="4" s="1"/>
  <c r="P66" i="4" s="1"/>
  <c r="I66" i="4"/>
  <c r="J66" i="4" s="1"/>
  <c r="G67" i="4"/>
  <c r="H67" i="4"/>
  <c r="I67" i="4"/>
  <c r="J67" i="4"/>
  <c r="L67" i="4"/>
  <c r="P67" i="4" s="1"/>
  <c r="M67" i="4"/>
  <c r="G68" i="4"/>
  <c r="K68" i="4" s="1"/>
  <c r="H68" i="4"/>
  <c r="L68" i="4" s="1"/>
  <c r="P68" i="4" s="1"/>
  <c r="I68" i="4"/>
  <c r="J68" i="4"/>
  <c r="G69" i="4"/>
  <c r="H69" i="4"/>
  <c r="I69" i="4"/>
  <c r="J69" i="4" s="1"/>
  <c r="G70" i="4"/>
  <c r="H70" i="4"/>
  <c r="I70" i="4"/>
  <c r="J70" i="4" s="1"/>
  <c r="G71" i="4"/>
  <c r="H71" i="4"/>
  <c r="I71" i="4"/>
  <c r="J71" i="4" s="1"/>
  <c r="K71" i="4" s="1"/>
  <c r="G72" i="4"/>
  <c r="H72" i="4"/>
  <c r="I72" i="4"/>
  <c r="J72" i="4" s="1"/>
  <c r="G73" i="4"/>
  <c r="H73" i="4"/>
  <c r="I73" i="4"/>
  <c r="J73" i="4" s="1"/>
  <c r="K73" i="4" s="1"/>
  <c r="G74" i="4"/>
  <c r="H74" i="4"/>
  <c r="L74" i="4" s="1"/>
  <c r="P74" i="4" s="1"/>
  <c r="I74" i="4"/>
  <c r="J74" i="4" s="1"/>
  <c r="G75" i="4"/>
  <c r="H75" i="4"/>
  <c r="I75" i="4"/>
  <c r="J75" i="4"/>
  <c r="M75" i="4" s="1"/>
  <c r="L75" i="4"/>
  <c r="P75" i="4" s="1"/>
  <c r="G76" i="4"/>
  <c r="H76" i="4"/>
  <c r="I76" i="4"/>
  <c r="J76" i="4" s="1"/>
  <c r="L76" i="4"/>
  <c r="P76" i="4" s="1"/>
  <c r="G77" i="4"/>
  <c r="K77" i="4" s="1"/>
  <c r="H77" i="4"/>
  <c r="M77" i="4" s="1"/>
  <c r="I77" i="4"/>
  <c r="J77" i="4" s="1"/>
  <c r="G78" i="4"/>
  <c r="K78" i="4" s="1"/>
  <c r="H78" i="4"/>
  <c r="I78" i="4"/>
  <c r="J78" i="4" s="1"/>
  <c r="G79" i="4"/>
  <c r="H79" i="4"/>
  <c r="L79" i="4" s="1"/>
  <c r="P79" i="4" s="1"/>
  <c r="I79" i="4"/>
  <c r="J79" i="4" s="1"/>
  <c r="K79" i="4" s="1"/>
  <c r="G80" i="4"/>
  <c r="H80" i="4"/>
  <c r="I80" i="4"/>
  <c r="J80" i="4" s="1"/>
  <c r="G81" i="4"/>
  <c r="H81" i="4"/>
  <c r="I81" i="4"/>
  <c r="J81" i="4"/>
  <c r="K81" i="4"/>
  <c r="G82" i="4"/>
  <c r="H82" i="4"/>
  <c r="I82" i="4"/>
  <c r="J82" i="4" s="1"/>
  <c r="G83" i="4"/>
  <c r="H83" i="4"/>
  <c r="L83" i="4" s="1"/>
  <c r="P83" i="4" s="1"/>
  <c r="I83" i="4"/>
  <c r="J83" i="4"/>
  <c r="G84" i="4"/>
  <c r="H84" i="4"/>
  <c r="I84" i="4"/>
  <c r="J84" i="4"/>
  <c r="L84" i="4"/>
  <c r="P84" i="4" s="1"/>
  <c r="G85" i="4"/>
  <c r="H85" i="4"/>
  <c r="I85" i="4"/>
  <c r="J85" i="4" s="1"/>
  <c r="G86" i="4"/>
  <c r="K86" i="4" s="1"/>
  <c r="H86" i="4"/>
  <c r="I86" i="4"/>
  <c r="J86" i="4" s="1"/>
  <c r="G87" i="4"/>
  <c r="H87" i="4"/>
  <c r="L87" i="4" s="1"/>
  <c r="P87" i="4" s="1"/>
  <c r="I87" i="4"/>
  <c r="J87" i="4" s="1"/>
  <c r="K87" i="4" s="1"/>
  <c r="G88" i="4"/>
  <c r="H88" i="4"/>
  <c r="I88" i="4"/>
  <c r="J88" i="4" s="1"/>
  <c r="G89" i="4"/>
  <c r="H89" i="4"/>
  <c r="I89" i="4"/>
  <c r="J89" i="4"/>
  <c r="K89" i="4"/>
  <c r="G90" i="4"/>
  <c r="K90" i="4" s="1"/>
  <c r="H90" i="4"/>
  <c r="L90" i="4" s="1"/>
  <c r="P90" i="4" s="1"/>
  <c r="I90" i="4"/>
  <c r="J90" i="4"/>
  <c r="G91" i="4"/>
  <c r="H91" i="4"/>
  <c r="L91" i="4" s="1"/>
  <c r="P91" i="4" s="1"/>
  <c r="I91" i="4"/>
  <c r="J91" i="4" s="1"/>
  <c r="G92" i="4"/>
  <c r="H92" i="4"/>
  <c r="I92" i="4"/>
  <c r="J92" i="4"/>
  <c r="L92" i="4"/>
  <c r="P92" i="4" s="1"/>
  <c r="G93" i="4"/>
  <c r="H93" i="4"/>
  <c r="I93" i="4"/>
  <c r="J93" i="4" s="1"/>
  <c r="G94" i="4"/>
  <c r="L94" i="4" s="1"/>
  <c r="P94" i="4" s="1"/>
  <c r="H94" i="4"/>
  <c r="I94" i="4"/>
  <c r="J94" i="4" s="1"/>
  <c r="G95" i="4"/>
  <c r="H95" i="4"/>
  <c r="L95" i="4" s="1"/>
  <c r="P95" i="4" s="1"/>
  <c r="I95" i="4"/>
  <c r="J95" i="4" s="1"/>
  <c r="G96" i="4"/>
  <c r="H96" i="4"/>
  <c r="I96" i="4"/>
  <c r="J96" i="4" s="1"/>
  <c r="K96" i="4" s="1"/>
  <c r="G97" i="4"/>
  <c r="H97" i="4"/>
  <c r="I97" i="4"/>
  <c r="J97" i="4"/>
  <c r="K97" i="4" s="1"/>
  <c r="G98" i="4"/>
  <c r="H98" i="4"/>
  <c r="I98" i="4"/>
  <c r="J98" i="4" s="1"/>
  <c r="K98" i="4" s="1"/>
  <c r="G99" i="4"/>
  <c r="K99" i="4" s="1"/>
  <c r="H99" i="4"/>
  <c r="L99" i="4" s="1"/>
  <c r="P99" i="4" s="1"/>
  <c r="I99" i="4"/>
  <c r="J99" i="4"/>
  <c r="G100" i="4"/>
  <c r="H100" i="4"/>
  <c r="L100" i="4" s="1"/>
  <c r="P100" i="4" s="1"/>
  <c r="I100" i="4"/>
  <c r="J100" i="4"/>
  <c r="G101" i="4"/>
  <c r="L101" i="4" s="1"/>
  <c r="P101" i="4" s="1"/>
  <c r="H101" i="4"/>
  <c r="I101" i="4"/>
  <c r="J101" i="4" s="1"/>
  <c r="G102" i="4"/>
  <c r="H102" i="4"/>
  <c r="I102" i="4"/>
  <c r="J102" i="4" s="1"/>
  <c r="G103" i="4"/>
  <c r="H103" i="4"/>
  <c r="I103" i="4"/>
  <c r="J103" i="4" s="1"/>
  <c r="G104" i="4"/>
  <c r="H104" i="4"/>
  <c r="I104" i="4"/>
  <c r="J104" i="4" s="1"/>
  <c r="K104" i="4" s="1"/>
  <c r="G105" i="4"/>
  <c r="H105" i="4"/>
  <c r="I105" i="4"/>
  <c r="J105" i="4" s="1"/>
  <c r="G59" i="4"/>
  <c r="H59" i="4"/>
  <c r="I59" i="4"/>
  <c r="J59" i="4" s="1"/>
  <c r="G58" i="4"/>
  <c r="H58" i="4"/>
  <c r="I58" i="4"/>
  <c r="J58" i="4" s="1"/>
  <c r="G57" i="4"/>
  <c r="H57" i="4"/>
  <c r="I57" i="4"/>
  <c r="J57" i="4" s="1"/>
  <c r="G56" i="4"/>
  <c r="H56" i="4"/>
  <c r="I56" i="4"/>
  <c r="J56" i="4" s="1"/>
  <c r="G55" i="4"/>
  <c r="H55" i="4"/>
  <c r="I55" i="4"/>
  <c r="J55" i="4" s="1"/>
  <c r="G54" i="4"/>
  <c r="H54" i="4"/>
  <c r="I54" i="4"/>
  <c r="J54" i="4" s="1"/>
  <c r="G53" i="4"/>
  <c r="H53" i="4"/>
  <c r="I53" i="4"/>
  <c r="J53" i="4" s="1"/>
  <c r="G52" i="4"/>
  <c r="H52" i="4"/>
  <c r="I52" i="4"/>
  <c r="J52" i="4" s="1"/>
  <c r="G51" i="4"/>
  <c r="H51" i="4"/>
  <c r="I51" i="4"/>
  <c r="J51" i="4" s="1"/>
  <c r="G50" i="4"/>
  <c r="H50" i="4"/>
  <c r="I50" i="4"/>
  <c r="J50" i="4" s="1"/>
  <c r="G49" i="4"/>
  <c r="H49" i="4"/>
  <c r="I49" i="4"/>
  <c r="J49" i="4" s="1"/>
  <c r="G48" i="4"/>
  <c r="H48" i="4"/>
  <c r="I48" i="4"/>
  <c r="J48" i="4" s="1"/>
  <c r="G47" i="4"/>
  <c r="H47" i="4"/>
  <c r="I47" i="4"/>
  <c r="J47" i="4" s="1"/>
  <c r="G46" i="4"/>
  <c r="H46" i="4"/>
  <c r="I46" i="4"/>
  <c r="J46" i="4" s="1"/>
  <c r="G45" i="4"/>
  <c r="H45" i="4"/>
  <c r="I45" i="4"/>
  <c r="J45" i="4" s="1"/>
  <c r="G44" i="4"/>
  <c r="H44" i="4"/>
  <c r="I44" i="4"/>
  <c r="J44" i="4" s="1"/>
  <c r="G43" i="4"/>
  <c r="H43" i="4"/>
  <c r="I43" i="4"/>
  <c r="J43" i="4" s="1"/>
  <c r="G42" i="4"/>
  <c r="H42" i="4"/>
  <c r="I42" i="4"/>
  <c r="J42" i="4" s="1"/>
  <c r="G41" i="4"/>
  <c r="H41" i="4"/>
  <c r="I41" i="4"/>
  <c r="J41" i="4" s="1"/>
  <c r="G40" i="4"/>
  <c r="H40" i="4"/>
  <c r="I40" i="4"/>
  <c r="J40" i="4" s="1"/>
  <c r="G39" i="4"/>
  <c r="H39" i="4"/>
  <c r="I39" i="4"/>
  <c r="J39" i="4" s="1"/>
  <c r="G38" i="4"/>
  <c r="H38" i="4"/>
  <c r="I38" i="4"/>
  <c r="J38" i="4" s="1"/>
  <c r="G37" i="4"/>
  <c r="H37" i="4"/>
  <c r="I37" i="4"/>
  <c r="J37" i="4" s="1"/>
  <c r="G36" i="4"/>
  <c r="H36" i="4"/>
  <c r="I36" i="4"/>
  <c r="J36" i="4" s="1"/>
  <c r="G35" i="4"/>
  <c r="H35" i="4"/>
  <c r="I35" i="4"/>
  <c r="J35" i="4" s="1"/>
  <c r="G34" i="4"/>
  <c r="H34" i="4"/>
  <c r="I34" i="4"/>
  <c r="J34" i="4" s="1"/>
  <c r="G33" i="4"/>
  <c r="H33" i="4"/>
  <c r="I33" i="4"/>
  <c r="J33" i="4" s="1"/>
  <c r="G32" i="4"/>
  <c r="H32" i="4"/>
  <c r="I32" i="4"/>
  <c r="J32" i="4" s="1"/>
  <c r="G31" i="4"/>
  <c r="H31" i="4"/>
  <c r="I31" i="4"/>
  <c r="J31" i="4" s="1"/>
  <c r="G30" i="4"/>
  <c r="H30" i="4"/>
  <c r="I30" i="4"/>
  <c r="J30" i="4" s="1"/>
  <c r="G29" i="4"/>
  <c r="H29" i="4"/>
  <c r="I29" i="4"/>
  <c r="J29" i="4" s="1"/>
  <c r="G28" i="4"/>
  <c r="H28" i="4"/>
  <c r="I28" i="4"/>
  <c r="J28" i="4" s="1"/>
  <c r="G27" i="4"/>
  <c r="H27" i="4"/>
  <c r="I27" i="4"/>
  <c r="J27" i="4" s="1"/>
  <c r="G26" i="4"/>
  <c r="H26" i="4"/>
  <c r="I26" i="4"/>
  <c r="J26" i="4" s="1"/>
  <c r="G25" i="4"/>
  <c r="H25" i="4"/>
  <c r="I25" i="4"/>
  <c r="J25" i="4" s="1"/>
  <c r="G24" i="4"/>
  <c r="H24" i="4"/>
  <c r="I24" i="4"/>
  <c r="J24" i="4" s="1"/>
  <c r="G20" i="4"/>
  <c r="H20" i="4"/>
  <c r="I20" i="4"/>
  <c r="J20" i="4" s="1"/>
  <c r="G23" i="4"/>
  <c r="H23" i="4"/>
  <c r="I23" i="4"/>
  <c r="J23" i="4" s="1"/>
  <c r="G22" i="4"/>
  <c r="H22" i="4"/>
  <c r="I22" i="4"/>
  <c r="J22" i="4" s="1"/>
  <c r="G21" i="4"/>
  <c r="H21" i="4"/>
  <c r="I21" i="4"/>
  <c r="J21" i="4" s="1"/>
  <c r="G18" i="4"/>
  <c r="H18" i="4"/>
  <c r="I18" i="4"/>
  <c r="J18" i="4" s="1"/>
  <c r="G19" i="4"/>
  <c r="H19" i="4"/>
  <c r="I19" i="4"/>
  <c r="J19" i="4" s="1"/>
  <c r="G17" i="4"/>
  <c r="H17" i="4"/>
  <c r="I17" i="4"/>
  <c r="J17" i="4" s="1"/>
  <c r="C2" i="8"/>
  <c r="W3" i="14"/>
  <c r="W4" i="14"/>
  <c r="W5" i="14"/>
  <c r="W6" i="14"/>
  <c r="W7" i="14"/>
  <c r="W8" i="14"/>
  <c r="B5" i="9"/>
  <c r="B6" i="9"/>
  <c r="B7" i="9"/>
  <c r="B8" i="9"/>
  <c r="B9" i="9"/>
  <c r="B10" i="9"/>
  <c r="R5" i="14"/>
  <c r="R6" i="14"/>
  <c r="R7" i="14"/>
  <c r="R8" i="14"/>
  <c r="R3" i="14"/>
  <c r="R4" i="14"/>
  <c r="S4" i="14"/>
  <c r="T4" i="14"/>
  <c r="S5" i="14"/>
  <c r="T5" i="14"/>
  <c r="S6" i="14"/>
  <c r="T6" i="14"/>
  <c r="S7" i="14"/>
  <c r="T7" i="14"/>
  <c r="S3" i="14"/>
  <c r="T3" i="14"/>
  <c r="S8" i="14"/>
  <c r="T8" i="14"/>
  <c r="K105" i="4" l="1"/>
  <c r="K66" i="4"/>
  <c r="K82" i="4"/>
  <c r="K74" i="4"/>
  <c r="M97" i="4"/>
  <c r="L102" i="4"/>
  <c r="P102" i="4" s="1"/>
  <c r="K100" i="4"/>
  <c r="M89" i="4"/>
  <c r="K83" i="4"/>
  <c r="L71" i="4"/>
  <c r="P71" i="4" s="1"/>
  <c r="M105" i="4"/>
  <c r="M99" i="4"/>
  <c r="K92" i="4"/>
  <c r="M81" i="4"/>
  <c r="K75" i="4"/>
  <c r="M101" i="4"/>
  <c r="M91" i="4"/>
  <c r="K88" i="4"/>
  <c r="K84" i="4"/>
  <c r="M73" i="4"/>
  <c r="K67" i="4"/>
  <c r="K103" i="4"/>
  <c r="M83" i="4"/>
  <c r="K80" i="4"/>
  <c r="K76" i="4"/>
  <c r="K91" i="4"/>
  <c r="L103" i="4"/>
  <c r="P103" i="4" s="1"/>
  <c r="K95" i="4"/>
  <c r="L82" i="4"/>
  <c r="P82" i="4" s="1"/>
  <c r="K72" i="4"/>
  <c r="K85" i="4"/>
  <c r="K62" i="4"/>
  <c r="M69" i="4"/>
  <c r="K69" i="4"/>
  <c r="M61" i="4"/>
  <c r="M93" i="4"/>
  <c r="K61" i="4"/>
  <c r="K93" i="4"/>
  <c r="M85" i="4"/>
  <c r="K70" i="4"/>
  <c r="M98" i="4"/>
  <c r="L105" i="4"/>
  <c r="P105" i="4" s="1"/>
  <c r="M102" i="4"/>
  <c r="L98" i="4"/>
  <c r="P98" i="4" s="1"/>
  <c r="L97" i="4"/>
  <c r="P97" i="4" s="1"/>
  <c r="M94" i="4"/>
  <c r="L89" i="4"/>
  <c r="P89" i="4" s="1"/>
  <c r="M86" i="4"/>
  <c r="L81" i="4"/>
  <c r="P81" i="4" s="1"/>
  <c r="M78" i="4"/>
  <c r="L73" i="4"/>
  <c r="P73" i="4" s="1"/>
  <c r="M70" i="4"/>
  <c r="L65" i="4"/>
  <c r="P65" i="4" s="1"/>
  <c r="M62" i="4"/>
  <c r="M88" i="4"/>
  <c r="M104" i="4"/>
  <c r="M96" i="4"/>
  <c r="M80" i="4"/>
  <c r="M72" i="4"/>
  <c r="M64" i="4"/>
  <c r="L93" i="4"/>
  <c r="P93" i="4" s="1"/>
  <c r="M90" i="4"/>
  <c r="L86" i="4"/>
  <c r="P86" i="4" s="1"/>
  <c r="L85" i="4"/>
  <c r="P85" i="4" s="1"/>
  <c r="M82" i="4"/>
  <c r="L78" i="4"/>
  <c r="P78" i="4" s="1"/>
  <c r="L77" i="4"/>
  <c r="P77" i="4" s="1"/>
  <c r="M74" i="4"/>
  <c r="L70" i="4"/>
  <c r="P70" i="4" s="1"/>
  <c r="L69" i="4"/>
  <c r="P69" i="4" s="1"/>
  <c r="M66" i="4"/>
  <c r="L62" i="4"/>
  <c r="P62" i="4" s="1"/>
  <c r="L61" i="4"/>
  <c r="P61" i="4" s="1"/>
  <c r="M103" i="4"/>
  <c r="K102" i="4"/>
  <c r="K101" i="4"/>
  <c r="M95" i="4"/>
  <c r="K94" i="4"/>
  <c r="M87" i="4"/>
  <c r="M79" i="4"/>
  <c r="M71" i="4"/>
  <c r="M63" i="4"/>
  <c r="L104" i="4"/>
  <c r="P104" i="4" s="1"/>
  <c r="M100" i="4"/>
  <c r="L96" i="4"/>
  <c r="P96" i="4" s="1"/>
  <c r="M92" i="4"/>
  <c r="L88" i="4"/>
  <c r="P88" i="4" s="1"/>
  <c r="M84" i="4"/>
  <c r="L80" i="4"/>
  <c r="P80" i="4" s="1"/>
  <c r="M76" i="4"/>
  <c r="L72" i="4"/>
  <c r="P72" i="4" s="1"/>
  <c r="M68" i="4"/>
  <c r="L64" i="4"/>
  <c r="P64" i="4" s="1"/>
  <c r="M60" i="4"/>
  <c r="L56" i="4"/>
  <c r="P56" i="4" s="1"/>
  <c r="L58" i="4"/>
  <c r="P58" i="4" s="1"/>
  <c r="L53" i="4"/>
  <c r="P53" i="4" s="1"/>
  <c r="L57" i="4"/>
  <c r="P57" i="4" s="1"/>
  <c r="L59" i="4"/>
  <c r="P59" i="4" s="1"/>
  <c r="K59" i="4"/>
  <c r="M59" i="4"/>
  <c r="L55" i="4"/>
  <c r="P55" i="4" s="1"/>
  <c r="K58" i="4"/>
  <c r="M58" i="4"/>
  <c r="K57" i="4"/>
  <c r="M57" i="4"/>
  <c r="K56" i="4"/>
  <c r="M56" i="4"/>
  <c r="K55" i="4"/>
  <c r="M55" i="4"/>
  <c r="L54" i="4"/>
  <c r="P54" i="4" s="1"/>
  <c r="K54" i="4"/>
  <c r="M54" i="4"/>
  <c r="K53" i="4"/>
  <c r="M53" i="4"/>
  <c r="L49" i="4"/>
  <c r="P49" i="4" s="1"/>
  <c r="L52" i="4"/>
  <c r="P52" i="4" s="1"/>
  <c r="K52" i="4"/>
  <c r="M52" i="4"/>
  <c r="L51" i="4"/>
  <c r="P51" i="4" s="1"/>
  <c r="K51" i="4"/>
  <c r="M51" i="4"/>
  <c r="L48" i="4"/>
  <c r="P48" i="4" s="1"/>
  <c r="M50" i="4"/>
  <c r="L50" i="4"/>
  <c r="P50" i="4" s="1"/>
  <c r="K50" i="4"/>
  <c r="K49" i="4"/>
  <c r="M49" i="4"/>
  <c r="K48" i="4"/>
  <c r="M48" i="4"/>
  <c r="L43" i="4"/>
  <c r="P43" i="4" s="1"/>
  <c r="K47" i="4"/>
  <c r="M47" i="4"/>
  <c r="L47" i="4"/>
  <c r="P47" i="4" s="1"/>
  <c r="L46" i="4"/>
  <c r="P46" i="4" s="1"/>
  <c r="M46" i="4"/>
  <c r="K46" i="4"/>
  <c r="M43" i="4"/>
  <c r="M45" i="4"/>
  <c r="K45" i="4"/>
  <c r="L45" i="4"/>
  <c r="P45" i="4" s="1"/>
  <c r="M27" i="4"/>
  <c r="K44" i="4"/>
  <c r="M44" i="4"/>
  <c r="L44" i="4"/>
  <c r="P44" i="4" s="1"/>
  <c r="M31" i="4"/>
  <c r="K43" i="4"/>
  <c r="M42" i="4"/>
  <c r="K42" i="4"/>
  <c r="L42" i="4"/>
  <c r="P42" i="4" s="1"/>
  <c r="L41" i="4"/>
  <c r="P41" i="4" s="1"/>
  <c r="K41" i="4"/>
  <c r="M41" i="4"/>
  <c r="L40" i="4"/>
  <c r="P40" i="4" s="1"/>
  <c r="K40" i="4"/>
  <c r="M40" i="4"/>
  <c r="L39" i="4"/>
  <c r="P39" i="4" s="1"/>
  <c r="K39" i="4"/>
  <c r="M39" i="4"/>
  <c r="M38" i="4"/>
  <c r="L38" i="4"/>
  <c r="P38" i="4" s="1"/>
  <c r="K38" i="4"/>
  <c r="L30" i="4"/>
  <c r="P30" i="4" s="1"/>
  <c r="L35" i="4"/>
  <c r="P35" i="4" s="1"/>
  <c r="L37" i="4"/>
  <c r="P37" i="4" s="1"/>
  <c r="K37" i="4"/>
  <c r="L36" i="4"/>
  <c r="P36" i="4" s="1"/>
  <c r="M37" i="4"/>
  <c r="M34" i="4"/>
  <c r="K36" i="4"/>
  <c r="M36" i="4"/>
  <c r="K35" i="4"/>
  <c r="M35" i="4"/>
  <c r="K34" i="4"/>
  <c r="L34" i="4"/>
  <c r="P34" i="4" s="1"/>
  <c r="M32" i="4"/>
  <c r="K33" i="4"/>
  <c r="L33" i="4"/>
  <c r="P33" i="4" s="1"/>
  <c r="M33" i="4"/>
  <c r="L29" i="4"/>
  <c r="P29" i="4" s="1"/>
  <c r="K32" i="4"/>
  <c r="L32" i="4"/>
  <c r="P32" i="4" s="1"/>
  <c r="K23" i="4"/>
  <c r="K31" i="4"/>
  <c r="L31" i="4"/>
  <c r="P31" i="4" s="1"/>
  <c r="K30" i="4"/>
  <c r="M30" i="4"/>
  <c r="M28" i="4"/>
  <c r="K29" i="4"/>
  <c r="M29" i="4"/>
  <c r="L28" i="4"/>
  <c r="P28" i="4" s="1"/>
  <c r="K28" i="4"/>
  <c r="K27" i="4"/>
  <c r="L27" i="4"/>
  <c r="P27" i="4" s="1"/>
  <c r="K24" i="4"/>
  <c r="L24" i="4"/>
  <c r="P24" i="4" s="1"/>
  <c r="M26" i="4"/>
  <c r="K26" i="4"/>
  <c r="L26" i="4"/>
  <c r="P26" i="4" s="1"/>
  <c r="M25" i="4"/>
  <c r="K25" i="4"/>
  <c r="L25" i="4"/>
  <c r="P25" i="4" s="1"/>
  <c r="M22" i="4"/>
  <c r="M24" i="4"/>
  <c r="M20" i="4"/>
  <c r="K20" i="4"/>
  <c r="L20" i="4"/>
  <c r="P20" i="4" s="1"/>
  <c r="L23" i="4"/>
  <c r="P23" i="4" s="1"/>
  <c r="M23" i="4"/>
  <c r="L17" i="4"/>
  <c r="P17" i="4" s="1"/>
  <c r="K22" i="4"/>
  <c r="L22" i="4"/>
  <c r="P22" i="4" s="1"/>
  <c r="L21" i="4"/>
  <c r="P21" i="4" s="1"/>
  <c r="K21" i="4"/>
  <c r="M21" i="4"/>
  <c r="L18" i="4"/>
  <c r="P18" i="4" s="1"/>
  <c r="K18" i="4"/>
  <c r="M18" i="4"/>
  <c r="L19" i="4"/>
  <c r="P19" i="4" s="1"/>
  <c r="K19" i="4"/>
  <c r="M19" i="4"/>
  <c r="K17" i="4"/>
  <c r="M17" i="4"/>
  <c r="U5" i="14"/>
  <c r="U6" i="14"/>
  <c r="U3" i="14"/>
  <c r="U4" i="14"/>
  <c r="U7" i="14"/>
  <c r="U8" i="14"/>
  <c r="G16" i="4"/>
  <c r="H16" i="4"/>
  <c r="I16" i="4"/>
  <c r="J16" i="4" s="1"/>
  <c r="G15" i="4"/>
  <c r="H15" i="4"/>
  <c r="I15" i="4"/>
  <c r="J15" i="4" s="1"/>
  <c r="G14" i="4"/>
  <c r="H14" i="4"/>
  <c r="I14" i="4"/>
  <c r="J14" i="4" s="1"/>
  <c r="G8" i="4"/>
  <c r="H8" i="4"/>
  <c r="I8" i="4"/>
  <c r="J8" i="4" s="1"/>
  <c r="G4" i="4"/>
  <c r="H4" i="4"/>
  <c r="I4" i="4"/>
  <c r="J4" i="4" s="1"/>
  <c r="G6" i="4"/>
  <c r="H6" i="4"/>
  <c r="I6" i="4"/>
  <c r="J6" i="4" s="1"/>
  <c r="V5" i="14"/>
  <c r="V7" i="14"/>
  <c r="V3" i="14"/>
  <c r="V4" i="14"/>
  <c r="V6" i="14"/>
  <c r="V8" i="14"/>
  <c r="D5" i="9" l="1"/>
  <c r="E5" i="9" s="1"/>
  <c r="D8" i="9"/>
  <c r="E8" i="9" s="1"/>
  <c r="D9" i="9"/>
  <c r="E9" i="9" s="1"/>
  <c r="D7" i="9"/>
  <c r="E7" i="9" s="1"/>
  <c r="D10" i="9"/>
  <c r="E10" i="9" s="1"/>
  <c r="D6" i="9"/>
  <c r="E6" i="9" s="1"/>
  <c r="M16" i="4"/>
  <c r="K16" i="4"/>
  <c r="L16" i="4"/>
  <c r="P16" i="4" s="1"/>
  <c r="K15" i="4"/>
  <c r="L15" i="4"/>
  <c r="P15" i="4" s="1"/>
  <c r="M15" i="4"/>
  <c r="L14" i="4"/>
  <c r="P14" i="4" s="1"/>
  <c r="K14" i="4"/>
  <c r="M14" i="4"/>
  <c r="L8" i="4"/>
  <c r="P8" i="4" s="1"/>
  <c r="K8" i="4"/>
  <c r="M8" i="4"/>
  <c r="L4" i="4"/>
  <c r="P4" i="4" s="1"/>
  <c r="K4" i="4"/>
  <c r="M4" i="4"/>
  <c r="L6" i="4"/>
  <c r="P6" i="4" s="1"/>
  <c r="K6" i="4"/>
  <c r="M6" i="4"/>
  <c r="G3" i="4" l="1"/>
  <c r="H3" i="4"/>
  <c r="I3" i="4"/>
  <c r="J3" i="4" s="1"/>
  <c r="G9" i="4"/>
  <c r="H9" i="4"/>
  <c r="I9" i="4"/>
  <c r="J9" i="4" s="1"/>
  <c r="G12" i="4"/>
  <c r="H12" i="4"/>
  <c r="I12" i="4"/>
  <c r="J12" i="4" s="1"/>
  <c r="G7" i="4"/>
  <c r="H7" i="4"/>
  <c r="I7" i="4"/>
  <c r="J7" i="4" s="1"/>
  <c r="G10" i="4"/>
  <c r="H10" i="4"/>
  <c r="I10" i="4"/>
  <c r="J10" i="4" s="1"/>
  <c r="G5" i="4"/>
  <c r="H5" i="4"/>
  <c r="I5" i="4"/>
  <c r="J5" i="4" s="1"/>
  <c r="L12" i="4" l="1"/>
  <c r="P12" i="4" s="1"/>
  <c r="L9" i="4"/>
  <c r="P9" i="4" s="1"/>
  <c r="L3" i="4"/>
  <c r="P3" i="4" s="1"/>
  <c r="K3" i="4"/>
  <c r="M3" i="4"/>
  <c r="K9" i="4"/>
  <c r="M9" i="4"/>
  <c r="K12" i="4"/>
  <c r="M12" i="4"/>
  <c r="L5" i="4"/>
  <c r="P5" i="4" s="1"/>
  <c r="L7" i="4"/>
  <c r="P7" i="4" s="1"/>
  <c r="K7" i="4"/>
  <c r="M7" i="4"/>
  <c r="K10" i="4"/>
  <c r="L10" i="4"/>
  <c r="P10" i="4" s="1"/>
  <c r="M10" i="4"/>
  <c r="K5" i="4"/>
  <c r="M5" i="4"/>
  <c r="G13" i="4"/>
  <c r="H13" i="4"/>
  <c r="I13" i="4"/>
  <c r="J13" i="4" s="1"/>
  <c r="L13" i="4" l="1"/>
  <c r="P13" i="4" s="1"/>
  <c r="K13" i="4"/>
  <c r="M13" i="4"/>
  <c r="G11" i="4" l="1"/>
  <c r="H11" i="4"/>
  <c r="I11" i="4"/>
  <c r="J11" i="4" s="1"/>
  <c r="G2" i="4"/>
  <c r="H2" i="4"/>
  <c r="I2" i="4"/>
  <c r="J2" i="4" s="1"/>
  <c r="L11" i="4" l="1"/>
  <c r="P11" i="4" s="1"/>
  <c r="K11" i="4"/>
  <c r="M11" i="4"/>
  <c r="L2" i="4"/>
  <c r="P2" i="4" s="1"/>
  <c r="K2" i="4"/>
  <c r="M2" i="4"/>
</calcChain>
</file>

<file path=xl/sharedStrings.xml><?xml version="1.0" encoding="utf-8"?>
<sst xmlns="http://schemas.openxmlformats.org/spreadsheetml/2006/main" count="659" uniqueCount="213">
  <si>
    <t>Date Filter</t>
  </si>
  <si>
    <t>Sunday</t>
  </si>
  <si>
    <t>Monday</t>
  </si>
  <si>
    <t>Tuesday</t>
  </si>
  <si>
    <t>Wednesday</t>
  </si>
  <si>
    <t>Thursday</t>
  </si>
  <si>
    <t>Friday</t>
  </si>
  <si>
    <t>Saturday</t>
  </si>
  <si>
    <t>Upcoming Due Dates</t>
  </si>
  <si>
    <t>Due Date</t>
  </si>
  <si>
    <t>Group Milestone 3</t>
  </si>
  <si>
    <t>Phys Assignment 8</t>
  </si>
  <si>
    <t>To Do List</t>
  </si>
  <si>
    <t>Task</t>
  </si>
  <si>
    <t>Status</t>
  </si>
  <si>
    <t>ID</t>
  </si>
  <si>
    <t>Name</t>
  </si>
  <si>
    <t>Type</t>
  </si>
  <si>
    <t>Date</t>
  </si>
  <si>
    <t>Start Time</t>
  </si>
  <si>
    <t>End Time</t>
  </si>
  <si>
    <t>Start Time Adj</t>
  </si>
  <si>
    <t>End Time Adj</t>
  </si>
  <si>
    <t>Travel ST</t>
  </si>
  <si>
    <t>Rd Travel ST</t>
  </si>
  <si>
    <t>Daily E HL</t>
  </si>
  <si>
    <t>Daily E HL2</t>
  </si>
  <si>
    <t>Wky HL</t>
  </si>
  <si>
    <t>Travel Time</t>
  </si>
  <si>
    <t>Note</t>
  </si>
  <si>
    <t>Time Spent</t>
  </si>
  <si>
    <t>Time</t>
  </si>
  <si>
    <t>Academics</t>
  </si>
  <si>
    <t>Big Pharma Bad</t>
  </si>
  <si>
    <t>2023-11-20\Date\12:40 PM</t>
  </si>
  <si>
    <t>Key Chain Activity</t>
  </si>
  <si>
    <t>2023-11-18\Lin Alg\09:55 AM</t>
  </si>
  <si>
    <t>Lin Alg</t>
  </si>
  <si>
    <t>2023-11-23\Math 116\06:32 PM</t>
  </si>
  <si>
    <t>Math 116</t>
  </si>
  <si>
    <t>Chess</t>
  </si>
  <si>
    <t>2023-11-24\Lin Alg\06:32 PM</t>
  </si>
  <si>
    <t>2023-11-21\Hello\06:32 PM</t>
  </si>
  <si>
    <t>Hello</t>
  </si>
  <si>
    <t>Social</t>
  </si>
  <si>
    <t>2023-11-23\Date\08:43 PM</t>
  </si>
  <si>
    <t>2023-11-21\Lin Alg\01:23 PM</t>
  </si>
  <si>
    <t>Exercise</t>
  </si>
  <si>
    <t>2023-11-23\MSCI 212\11:35 AM</t>
  </si>
  <si>
    <t>MSCI 212</t>
  </si>
  <si>
    <t>Routine Tasks</t>
  </si>
  <si>
    <t>2023-11-23\Chess\10:42 AM</t>
  </si>
  <si>
    <t>Extracurricular</t>
  </si>
  <si>
    <t>2023-11-20\MSCI 212\02:08 PM</t>
  </si>
  <si>
    <t>Other</t>
  </si>
  <si>
    <t>2023-11-21\Key Chain\9:00 am</t>
  </si>
  <si>
    <t>Key Chain</t>
  </si>
  <si>
    <t>2023-11-202023-11-18\Lin Alg\07:01 AM</t>
  </si>
  <si>
    <t>2023-11-222023-11-18\Lin Alg\07:01 AM</t>
  </si>
  <si>
    <t>2023-11-242023-11-18\Lin Alg\07:01 AM</t>
  </si>
  <si>
    <t>Date and Study Time Pivot Table</t>
  </si>
  <si>
    <t>Sum of Time Spent</t>
  </si>
  <si>
    <t>Column Labels</t>
  </si>
  <si>
    <t>Row Labels</t>
  </si>
  <si>
    <t>Grand Total</t>
  </si>
  <si>
    <t>Count of Status</t>
  </si>
  <si>
    <t>Months</t>
  </si>
  <si>
    <t>Days</t>
  </si>
  <si>
    <t>Times</t>
  </si>
  <si>
    <t>Years</t>
  </si>
  <si>
    <t>Faculty</t>
  </si>
  <si>
    <t>TypeEvents</t>
  </si>
  <si>
    <t>Scheduled_Events</t>
  </si>
  <si>
    <t>January</t>
  </si>
  <si>
    <t>2021-12-23\Hi\01:23 am</t>
  </si>
  <si>
    <t>February</t>
  </si>
  <si>
    <t>Arts</t>
  </si>
  <si>
    <t>March</t>
  </si>
  <si>
    <t>Environment</t>
  </si>
  <si>
    <t>April</t>
  </si>
  <si>
    <t>Engineering</t>
  </si>
  <si>
    <t>2023-11-20\Happiness\06:32 PM</t>
  </si>
  <si>
    <t>May</t>
  </si>
  <si>
    <t>Science</t>
  </si>
  <si>
    <t>June</t>
  </si>
  <si>
    <t>Health</t>
  </si>
  <si>
    <t>July</t>
  </si>
  <si>
    <t>August</t>
  </si>
  <si>
    <t>September</t>
  </si>
  <si>
    <t>October</t>
  </si>
  <si>
    <t>November</t>
  </si>
  <si>
    <t>2023-11-22\Math 116\06:32 PM</t>
  </si>
  <si>
    <t>December</t>
  </si>
  <si>
    <t>2023-11-26\Dinner\04:58 PM</t>
  </si>
  <si>
    <t>Dinner</t>
  </si>
  <si>
    <t>MSCI 212  09:17 PM - 09:43 PM_x000D_
Big Pharma Bad</t>
  </si>
  <si>
    <t>Travel to MSCI 212   09:00 PM - 09:17 PM</t>
  </si>
  <si>
    <t>asdfa</t>
  </si>
  <si>
    <t>First Date</t>
  </si>
  <si>
    <t>FinalDate</t>
  </si>
  <si>
    <t>Number of Weeks</t>
  </si>
  <si>
    <t>Category</t>
  </si>
  <si>
    <t>Goals</t>
  </si>
  <si>
    <t>Current Time</t>
  </si>
  <si>
    <t>Time Management Advice</t>
  </si>
  <si>
    <t>SchoolYears</t>
  </si>
  <si>
    <t>Past Overall Average</t>
  </si>
  <si>
    <t>Percent Complete</t>
  </si>
  <si>
    <t>Areas you need to spend more time on: Academics, Exercise, Extracurricular, Other, Routine Tasks, Social</t>
  </si>
  <si>
    <t>2023-12-20\Happiness\06:32 PM</t>
  </si>
  <si>
    <t>Happiness</t>
  </si>
  <si>
    <t>2023-12-22\Date\11:02 AM</t>
  </si>
  <si>
    <t>2023-12-202023-12-18\Date\11:14 AM</t>
  </si>
  <si>
    <t>2023-12-222023-12-18\Date\11:14 AM</t>
  </si>
  <si>
    <t>2023-12-242023-12-18\Date\11:14 AM</t>
  </si>
  <si>
    <t>2023-12-262023-12-18\Date\11:14 AM</t>
  </si>
  <si>
    <t>2023-12-282023-12-18\Date\11:14 AM</t>
  </si>
  <si>
    <t>Mathematics</t>
  </si>
  <si>
    <t>2023-12-24\Happiness\07:57 AM</t>
  </si>
  <si>
    <t>2023-12-04\MSCI 212\09:17 PM</t>
  </si>
  <si>
    <t>(blank)</t>
  </si>
  <si>
    <t>Commit Tax Fraud</t>
  </si>
  <si>
    <t>Incomplete</t>
  </si>
  <si>
    <t>2024-01-182023-12-19\Happiness\06:32 PM</t>
  </si>
  <si>
    <t>2024-02-172023-12-19\Happiness\06:32 PM</t>
  </si>
  <si>
    <t>2024-03-182023-12-19\Happiness\06:32 PM</t>
  </si>
  <si>
    <t>2024-04-172023-12-19\Happiness\06:32 PM</t>
  </si>
  <si>
    <t>2024-05-172023-12-19\Happiness\06:32 PM</t>
  </si>
  <si>
    <t>2024-06-162023-12-19\Happiness\06:32 PM</t>
  </si>
  <si>
    <t>2024-07-162023-12-19\Happiness\06:32 PM</t>
  </si>
  <si>
    <t>2024-08-152023-12-19\Happiness\06:32 PM</t>
  </si>
  <si>
    <t>2024-09-142023-12-19\Happiness\06:32 PM</t>
  </si>
  <si>
    <t>2024-10-142023-12-19\Happiness\06:32 PM</t>
  </si>
  <si>
    <t>2024-11-132023-12-19\Happiness\06:32 PM</t>
  </si>
  <si>
    <t>2024-12-132023-12-19\Happiness\06:32 PM</t>
  </si>
  <si>
    <t>2025-01-122023-12-19\Happiness\06:32 PM</t>
  </si>
  <si>
    <t>2025-02-112023-12-19\Happiness\06:32 PM</t>
  </si>
  <si>
    <t>2025-03-132023-12-19\Happiness\06:32 PM</t>
  </si>
  <si>
    <t>2025-04-122023-12-19\Happiness\06:32 PM</t>
  </si>
  <si>
    <t>2025-05-122023-12-19\Happiness\06:32 PM</t>
  </si>
  <si>
    <t>2025-06-112023-12-19\Happiness\06:32 PM</t>
  </si>
  <si>
    <t>2025-07-112023-12-19\Happiness\06:32 PM</t>
  </si>
  <si>
    <t>2025-08-102023-12-19\Happiness\06:32 PM</t>
  </si>
  <si>
    <t>2025-09-092023-12-19\Happiness\06:32 PM</t>
  </si>
  <si>
    <t>2025-10-092023-12-19\Happiness\06:32 PM</t>
  </si>
  <si>
    <t>2025-11-082023-12-19\Happiness\06:32 PM</t>
  </si>
  <si>
    <t>2025-12-082023-12-19\Happiness\06:32 PM</t>
  </si>
  <si>
    <t>2026-01-072023-12-19\Happiness\06:32 PM</t>
  </si>
  <si>
    <t>2026-02-062023-12-19\Happiness\06:32 PM</t>
  </si>
  <si>
    <t>2026-03-082023-12-19\Happiness\06:32 PM</t>
  </si>
  <si>
    <t>2026-04-072023-12-19\Happiness\06:32 PM</t>
  </si>
  <si>
    <t>2026-05-072023-12-19\Happiness\06:32 PM</t>
  </si>
  <si>
    <t>2026-06-062023-12-19\Happiness\06:32 PM</t>
  </si>
  <si>
    <t>2026-07-062023-12-19\Happiness\06:32 PM</t>
  </si>
  <si>
    <t>2026-08-052023-12-19\Happiness\06:32 PM</t>
  </si>
  <si>
    <t>2026-09-042023-12-19\Happiness\06:32 PM</t>
  </si>
  <si>
    <t>2026-10-042023-12-19\Happiness\06:32 PM</t>
  </si>
  <si>
    <t>2026-11-032023-12-19\Happiness\06:32 PM</t>
  </si>
  <si>
    <t>2026-12-032023-12-19\Happiness\06:32 PM</t>
  </si>
  <si>
    <t>2027-01-022023-12-19\Happiness\06:32 PM</t>
  </si>
  <si>
    <t>2027-02-012023-12-19\Happiness\06:32 PM</t>
  </si>
  <si>
    <t>2027-03-032023-12-19\Happiness\06:32 PM</t>
  </si>
  <si>
    <t>2027-04-022023-12-19\Happiness\06:32 PM</t>
  </si>
  <si>
    <t>2027-05-022023-12-19\Happiness\06:32 PM</t>
  </si>
  <si>
    <t>2027-06-012023-12-19\Happiness\06:32 PM</t>
  </si>
  <si>
    <t>2027-07-012023-12-19\Happiness\06:32 PM</t>
  </si>
  <si>
    <t>2027-07-312023-12-19\Happiness\06:32 PM</t>
  </si>
  <si>
    <t>2027-08-302023-12-19\Happiness\06:32 PM</t>
  </si>
  <si>
    <t>2027-09-292023-12-19\Happiness\06:32 PM</t>
  </si>
  <si>
    <t>2027-10-292023-12-19\Happiness\06:32 PM</t>
  </si>
  <si>
    <t>2027-11-282023-12-19\Happiness\06:32 PM</t>
  </si>
  <si>
    <t>2027-12-282023-12-19\Happiness\06:32 PM</t>
  </si>
  <si>
    <t>2028-01-272023-12-19\Happiness\06:32 PM</t>
  </si>
  <si>
    <t>2028-02-262023-12-19\Happiness\06:32 PM</t>
  </si>
  <si>
    <t>2028-03-272023-12-19\Happiness\06:32 PM</t>
  </si>
  <si>
    <t>2028-04-262023-12-19\Happiness\06:32 PM</t>
  </si>
  <si>
    <t>2028-05-262023-12-19\Happiness\06:32 PM</t>
  </si>
  <si>
    <t>2028-06-252023-12-19\Happiness\06:32 PM</t>
  </si>
  <si>
    <t>2028-07-252023-12-19\Happiness\06:32 PM</t>
  </si>
  <si>
    <t>2028-08-242023-12-19\Happiness\06:32 PM</t>
  </si>
  <si>
    <t>2028-09-232023-12-19\Happiness\06:32 PM</t>
  </si>
  <si>
    <t>2028-10-232023-12-19\Happiness\06:32 PM</t>
  </si>
  <si>
    <t>2028-11-222023-12-19\Happiness\06:32 PM</t>
  </si>
  <si>
    <t>2028-12-222023-12-19\Happiness\06:32 PM</t>
  </si>
  <si>
    <t>2029-01-212023-12-19\Happiness\06:32 PM</t>
  </si>
  <si>
    <t>2029-02-202023-12-19\Happiness\06:32 PM</t>
  </si>
  <si>
    <t>2029-03-222023-12-19\Happiness\06:32 PM</t>
  </si>
  <si>
    <t>2029-04-212023-12-19\Happiness\06:32 PM</t>
  </si>
  <si>
    <t>2029-05-212023-12-19\Happiness\06:32 PM</t>
  </si>
  <si>
    <t>2029-06-202023-12-19\Happiness\06:32 PM</t>
  </si>
  <si>
    <t>2029-07-202023-12-19\Happiness\06:32 PM</t>
  </si>
  <si>
    <t>2029-08-192023-12-19\Happiness\06:32 PM</t>
  </si>
  <si>
    <t>2029-09-182023-12-19\Happiness\06:32 PM</t>
  </si>
  <si>
    <t>2029-10-182023-12-19\Happiness\06:32 PM</t>
  </si>
  <si>
    <t>2029-11-172023-12-19\Happiness\06:32 PM</t>
  </si>
  <si>
    <t>2029-12-172023-12-19\Happiness\06:32 PM</t>
  </si>
  <si>
    <t>2030-01-162023-12-19\Happiness\06:32 PM</t>
  </si>
  <si>
    <t>2030-02-152023-12-19\Happiness\06:32 PM</t>
  </si>
  <si>
    <t>2030-03-172023-12-19\Happiness\06:32 PM</t>
  </si>
  <si>
    <t>2030-04-162023-12-19\Happiness\06:32 PM</t>
  </si>
  <si>
    <t>2030-05-162023-12-19\Happiness\06:32 PM</t>
  </si>
  <si>
    <t>2030-06-152023-12-19\Happiness\06:32 PM</t>
  </si>
  <si>
    <t>2030-07-152023-12-19\Happiness\06:32 PM</t>
  </si>
  <si>
    <t>2030-08-142023-12-19\Happiness\06:32 PM</t>
  </si>
  <si>
    <t>2030-09-132023-12-19\Happiness\06:32 PM</t>
  </si>
  <si>
    <t>2030-10-132023-12-19\Happiness\06:32 PM</t>
  </si>
  <si>
    <t>Msci group project</t>
  </si>
  <si>
    <t>Group msci project</t>
  </si>
  <si>
    <t>hi</t>
  </si>
  <si>
    <t>Ongoing</t>
  </si>
  <si>
    <t>Happiness_x000D_
06:22 PM - 07:48 PM</t>
  </si>
  <si>
    <t>Date_x000D_
10:52 AM - 12:54 PM</t>
  </si>
  <si>
    <t>Date_x000D_
10:51 AM - 12:13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</si>
</sst>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:ss;@"/>
    <numFmt numFmtId="165" formatCode="hh:mm\ AM/PM"/>
    <numFmt numFmtId="166" formatCode="[m]"/>
    <numFmt numFmtId="167" formatCode="yyyy\-mm\-dd;@"/>
    <numFmt numFmtId="168" formatCode="[mm]"/>
    <numFmt numFmtId="169" formatCode="[hh]"/>
    <numFmt numFmtId="170" formatCode="h:mm;@"/>
  </numFmts>
  <fonts count="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  <family val="2"/>
    </font>
    <font>
      <b/>
      <sz val="14"/>
      <color theme="1"/>
      <name val="Calibri"/>
      <family val="2"/>
      <scheme val="minor"/>
    </font>
    <font>
      <sz val="18"/>
      <color theme="1"/>
      <name val="Aharoni"/>
      <charset val="177"/>
    </font>
    <font>
      <sz val="11"/>
      <color rgb="FF000000"/>
      <name val="Calibri"/>
      <family val="2"/>
    </font>
    <font>
      <sz val="18"/>
      <color theme="1"/>
      <name val="Cambria"/>
      <family val="1"/>
    </font>
    <font>
      <sz val="16"/>
      <color theme="1"/>
      <name val="Cambria"/>
      <family val="1"/>
    </font>
    <font>
      <sz val="20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AAE3F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2DBAA"/>
        <bgColor indexed="64"/>
      </patternFill>
    </fill>
    <fill>
      <patternFill patternType="solid">
        <fgColor rgb="FF9BC0FB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18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164" fontId="0" fillId="0" borderId="4" xfId="0" applyNumberFormat="1" applyBorder="1"/>
    <xf numFmtId="18" fontId="0" fillId="0" borderId="10" xfId="0" applyNumberFormat="1" applyBorder="1"/>
    <xf numFmtId="18" fontId="0" fillId="0" borderId="11" xfId="0" applyNumberFormat="1" applyBorder="1"/>
    <xf numFmtId="1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165" fontId="0" fillId="0" borderId="0" xfId="0" applyNumberFormat="1"/>
    <xf numFmtId="0" fontId="0" fillId="0" borderId="16" xfId="0" applyBorder="1"/>
    <xf numFmtId="0" fontId="0" fillId="0" borderId="17" xfId="0" applyBorder="1"/>
    <xf numFmtId="18" fontId="0" fillId="0" borderId="12" xfId="0" applyNumberFormat="1" applyBorder="1"/>
    <xf numFmtId="18" fontId="0" fillId="0" borderId="4" xfId="0" applyNumberFormat="1" applyBorder="1"/>
    <xf numFmtId="20" fontId="0" fillId="0" borderId="0" xfId="0" applyNumberFormat="1"/>
    <xf numFmtId="18" fontId="0" fillId="0" borderId="0" xfId="0" applyNumberFormat="1" applyAlignment="1">
      <alignment vertical="center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24" xfId="0" applyBorder="1"/>
    <xf numFmtId="167" fontId="0" fillId="0" borderId="0" xfId="0" applyNumberFormat="1" applyAlignment="1">
      <alignment horizontal="center" vertical="center"/>
    </xf>
    <xf numFmtId="0" fontId="0" fillId="4" borderId="21" xfId="0" applyFill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/>
    </xf>
    <xf numFmtId="9" fontId="0" fillId="0" borderId="0" xfId="0" applyNumberFormat="1"/>
    <xf numFmtId="9" fontId="0" fillId="0" borderId="4" xfId="0" applyNumberFormat="1" applyBorder="1"/>
    <xf numFmtId="0" fontId="0" fillId="0" borderId="26" xfId="0" applyBorder="1"/>
    <xf numFmtId="0" fontId="0" fillId="0" borderId="20" xfId="0" applyBorder="1"/>
    <xf numFmtId="9" fontId="0" fillId="0" borderId="5" xfId="0" applyNumberFormat="1" applyBorder="1"/>
    <xf numFmtId="2" fontId="0" fillId="0" borderId="0" xfId="0" applyNumberFormat="1"/>
    <xf numFmtId="2" fontId="0" fillId="0" borderId="20" xfId="0" applyNumberFormat="1" applyBorder="1"/>
    <xf numFmtId="168" fontId="0" fillId="0" borderId="0" xfId="0" applyNumberFormat="1"/>
    <xf numFmtId="167" fontId="0" fillId="0" borderId="0" xfId="0" applyNumberFormat="1"/>
    <xf numFmtId="167" fontId="0" fillId="0" borderId="0" xfId="0" applyNumberFormat="1" applyAlignment="1">
      <alignment vertical="center"/>
    </xf>
    <xf numFmtId="0" fontId="8" fillId="0" borderId="3" xfId="0" applyFont="1" applyBorder="1" applyAlignment="1">
      <alignment horizontal="center" vertical="center"/>
    </xf>
    <xf numFmtId="169" fontId="0" fillId="0" borderId="0" xfId="0" applyNumberFormat="1"/>
    <xf numFmtId="170" fontId="0" fillId="0" borderId="0" xfId="0" applyNumberFormat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8" fontId="0" fillId="0" borderId="7" xfId="0" applyNumberFormat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8" fontId="0" fillId="0" borderId="8" xfId="0" applyNumberFormat="1" applyBorder="1" applyAlignment="1">
      <alignment horizontal="center" vertical="center"/>
    </xf>
    <xf numFmtId="0" fontId="0" fillId="2" borderId="21" xfId="0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5" borderId="16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6" fillId="5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7" fillId="5" borderId="16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30">
    <dxf>
      <numFmt numFmtId="2" formatCode="0.00"/>
    </dxf>
    <dxf>
      <numFmt numFmtId="1" formatCode="0"/>
    </dxf>
    <dxf>
      <numFmt numFmtId="168" formatCode="[mm]"/>
    </dxf>
    <dxf>
      <numFmt numFmtId="1" formatCode="0"/>
    </dxf>
    <dxf>
      <numFmt numFmtId="1" formatCode="0"/>
    </dxf>
    <dxf>
      <numFmt numFmtId="1" formatCode="0"/>
    </dxf>
    <dxf>
      <numFmt numFmtId="165" formatCode="hh:mm\ AM/PM"/>
    </dxf>
    <dxf>
      <numFmt numFmtId="165" formatCode="hh:mm\ AM/PM"/>
    </dxf>
    <dxf>
      <numFmt numFmtId="165" formatCode="hh:mm\ AM/PM"/>
    </dxf>
    <dxf>
      <numFmt numFmtId="165" formatCode="hh:mm\ AM/PM"/>
    </dxf>
    <dxf>
      <numFmt numFmtId="165" formatCode="hh:mm\ AM/PM"/>
    </dxf>
    <dxf>
      <numFmt numFmtId="165" formatCode="hh:mm\ AM/PM"/>
    </dxf>
    <dxf>
      <numFmt numFmtId="171" formatCode="yyyy/mm/dd"/>
    </dxf>
    <dxf>
      <numFmt numFmtId="1" formatCode="0"/>
    </dxf>
    <dxf>
      <numFmt numFmtId="0" formatCode="General"/>
    </dxf>
    <dxf>
      <numFmt numFmtId="2" formatCode="0.00"/>
    </dxf>
    <dxf>
      <numFmt numFmtId="0" formatCode="General"/>
    </dxf>
    <dxf>
      <numFmt numFmtId="169" formatCode="[hh]"/>
    </dxf>
    <dxf>
      <numFmt numFmtId="13" formatCode="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2" formatCode="0.0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7" formatCode="yyyy\-mm\-dd;@"/>
      <alignment horizontal="center" vertical="center" textRotation="0" wrapText="0" indent="0" justifyLastLine="0" shrinkToFit="0" readingOrder="0"/>
    </dxf>
    <dxf>
      <numFmt numFmtId="167" formatCode="yyyy\-mm\-dd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0" formatCode="h:mm;@"/>
      <alignment horizontal="center" vertical="center" textRotation="0" wrapText="0" indent="0" justifyLastLine="0" shrinkToFit="0" readingOrder="0"/>
    </dxf>
    <dxf>
      <numFmt numFmtId="167" formatCode="yyyy\-mm\-dd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BC0FB"/>
      <color rgb="FFFADDC2"/>
      <color rgb="FFFADABC"/>
      <color rgb="FFFAD7B8"/>
      <color rgb="FFB6D1FC"/>
      <color rgb="FF9BD4FB"/>
      <color rgb="FF9BE2FB"/>
      <color rgb="FF3274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[checkfinal.xlsm]PivotTables!ToDoStatus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Status of Tasks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108024396464144E-2"/>
          <c:y val="0.21828801593932032"/>
          <c:w val="0.93143086883152637"/>
          <c:h val="0.635950459489953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PivotTables!$Z$2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PivotTables!$Y$3:$Y$4</c:f>
              <c:strCache>
                <c:ptCount val="2"/>
                <c:pt idx="0">
                  <c:v>Incomplete</c:v>
                </c:pt>
                <c:pt idx="1">
                  <c:v>Ongoing</c:v>
                </c:pt>
              </c:strCache>
            </c:strRef>
          </c:cat>
          <c:val>
            <c:numRef>
              <c:f>PivotTables!$Z$3:$Z$4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74-4552-A452-9DB9791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740736"/>
        <c:axId val="359149376"/>
      </c:barChart>
      <c:catAx>
        <c:axId val="7374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49376"/>
        <c:crosses val="autoZero"/>
        <c:auto val="1"/>
        <c:lblAlgn val="ctr"/>
        <c:lblOffset val="100"/>
        <c:noMultiLvlLbl val="0"/>
      </c:catAx>
      <c:valAx>
        <c:axId val="35914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4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[checkfinal.xlsm]PivotTables!PivotTable5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Study Hours Per Week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5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5"/>
            </a:outerShdw>
          </a:effectLst>
        </c:spPr>
        <c:marker>
          <c:symbol val="circle"/>
          <c:size val="14"/>
          <c:spPr>
            <a:solidFill>
              <a:schemeClr val="accent5">
                <a:tint val="50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5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5"/>
            </a:outerShdw>
          </a:effectLst>
        </c:spPr>
        <c:marker>
          <c:symbol val="circle"/>
          <c:size val="14"/>
          <c:spPr>
            <a:solidFill>
              <a:schemeClr val="accent5">
                <a:tint val="70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5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5"/>
            </a:outerShdw>
          </a:effectLst>
        </c:spPr>
        <c:marker>
          <c:symbol val="circle"/>
          <c:size val="14"/>
          <c:spPr>
            <a:solidFill>
              <a:schemeClr val="accent5">
                <a:tint val="90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5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5"/>
            </a:outerShdw>
          </a:effectLst>
        </c:spPr>
        <c:marker>
          <c:symbol val="circle"/>
          <c:size val="14"/>
          <c:spPr>
            <a:solidFill>
              <a:schemeClr val="accent5">
                <a:shade val="90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5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5"/>
            </a:outerShdw>
          </a:effectLst>
        </c:spPr>
        <c:marker>
          <c:symbol val="circle"/>
          <c:size val="14"/>
          <c:spPr>
            <a:solidFill>
              <a:schemeClr val="accent5">
                <a:shade val="70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5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5"/>
            </a:outerShdw>
          </a:effectLst>
        </c:spPr>
        <c:marker>
          <c:symbol val="circle"/>
          <c:size val="14"/>
          <c:spPr>
            <a:solidFill>
              <a:schemeClr val="accent5">
                <a:shade val="50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5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5"/>
            </a:outerShdw>
          </a:effectLst>
        </c:spPr>
        <c:marker>
          <c:symbol val="circle"/>
          <c:size val="14"/>
          <c:spPr>
            <a:solidFill>
              <a:schemeClr val="accent5">
                <a:tint val="50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5"/>
            </a:outerShdw>
          </a:effectLst>
        </c:spPr>
        <c:marker>
          <c:symbol val="circle"/>
          <c:size val="14"/>
          <c:spPr>
            <a:solidFill>
              <a:schemeClr val="accent5">
                <a:tint val="50000"/>
              </a:schemeClr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275844886096381E-2"/>
          <c:y val="0.11616877683685947"/>
          <c:w val="0.90366156056003244"/>
          <c:h val="0.7119404291087319"/>
        </c:manualLayout>
      </c:layout>
      <c:lineChart>
        <c:grouping val="stacked"/>
        <c:varyColors val="0"/>
        <c:ser>
          <c:idx val="0"/>
          <c:order val="0"/>
          <c:tx>
            <c:strRef>
              <c:f>PivotTables!$B$2:$B$3</c:f>
              <c:strCache>
                <c:ptCount val="1"/>
                <c:pt idx="0">
                  <c:v>Academics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5"/>
              </a:outerShdw>
            </a:effectLst>
          </c:spPr>
          <c:marker>
            <c:symbol val="circle"/>
            <c:size val="14"/>
            <c:spPr>
              <a:solidFill>
                <a:schemeClr val="accent5">
                  <a:tint val="50000"/>
                </a:schemeClr>
              </a:solidFill>
              <a:ln>
                <a:noFill/>
              </a:ln>
              <a:effectLst/>
            </c:spPr>
          </c:marker>
          <c:dLbls>
            <c:spPr>
              <a:solidFill>
                <a:srgbClr val="5B9BD5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PivotTables!$A$4:$A$12</c:f>
              <c:strCache>
                <c:ptCount val="8"/>
                <c:pt idx="0">
                  <c:v>11/20/2023</c:v>
                </c:pt>
                <c:pt idx="1">
                  <c:v>11/23/2023</c:v>
                </c:pt>
                <c:pt idx="2">
                  <c:v>12/24/2023</c:v>
                </c:pt>
                <c:pt idx="3">
                  <c:v>12/26/2023</c:v>
                </c:pt>
                <c:pt idx="4">
                  <c:v>12/20/2023</c:v>
                </c:pt>
                <c:pt idx="5">
                  <c:v>12/22/2023</c:v>
                </c:pt>
                <c:pt idx="6">
                  <c:v>12/28/2023</c:v>
                </c:pt>
                <c:pt idx="7">
                  <c:v>12/4/2023</c:v>
                </c:pt>
              </c:strCache>
            </c:strRef>
          </c:cat>
          <c:val>
            <c:numRef>
              <c:f>PivotTables!$B$4:$B$12</c:f>
              <c:numCache>
                <c:formatCode>General</c:formatCode>
                <c:ptCount val="8"/>
                <c:pt idx="0">
                  <c:v>2.0000000000000009</c:v>
                </c:pt>
                <c:pt idx="1">
                  <c:v>1.2500000000000009</c:v>
                </c:pt>
                <c:pt idx="2">
                  <c:v>5</c:v>
                </c:pt>
                <c:pt idx="3">
                  <c:v>1.7499999999999991</c:v>
                </c:pt>
                <c:pt idx="4">
                  <c:v>3</c:v>
                </c:pt>
                <c:pt idx="5">
                  <c:v>1.2499999999999996</c:v>
                </c:pt>
                <c:pt idx="6">
                  <c:v>1.7499999999999991</c:v>
                </c:pt>
                <c:pt idx="7">
                  <c:v>0.50000000000000089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2-478C-B9A1-EE8028751C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812228799"/>
        <c:axId val="480332175"/>
      </c:lineChart>
      <c:catAx>
        <c:axId val="8122287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493792080337784"/>
              <c:y val="0.88243415481433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32175"/>
        <c:crosses val="autoZero"/>
        <c:auto val="1"/>
        <c:lblAlgn val="ctr"/>
        <c:lblOffset val="100"/>
        <c:noMultiLvlLbl val="0"/>
      </c:catAx>
      <c:valAx>
        <c:axId val="480332175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 Spent</a:t>
                </a:r>
              </a:p>
            </c:rich>
          </c:tx>
          <c:layout>
            <c:manualLayout>
              <c:xMode val="edge"/>
              <c:yMode val="edge"/>
              <c:x val="1.932367149758454E-2"/>
              <c:y val="0.33084748888654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8122287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[checkfinal.xlsm]PivotTables!PivotTable2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Time Spent in each</a:t>
            </a:r>
            <a:r>
              <a:rPr lang="en-CA" baseline="0"/>
              <a:t> Catagories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PivotTables!$F$2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D6-4327-8605-2722020292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D6-4327-8605-27220202927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3D6-4327-8605-27220202927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3D6-4327-8605-27220202927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3D6-4327-8605-27220202927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3D6-4327-8605-27220202927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3D6-4327-8605-272202029275}"/>
              </c:ext>
            </c:extLst>
          </c:dPt>
          <c:cat>
            <c:strRef>
              <c:f>PivotTables!$E$3:$E$9</c:f>
              <c:strCache>
                <c:ptCount val="6"/>
                <c:pt idx="0">
                  <c:v>Academics</c:v>
                </c:pt>
                <c:pt idx="1">
                  <c:v>Exercise</c:v>
                </c:pt>
                <c:pt idx="2">
                  <c:v>Extracurricular</c:v>
                </c:pt>
                <c:pt idx="3">
                  <c:v>Other</c:v>
                </c:pt>
                <c:pt idx="4">
                  <c:v>Routine Tasks</c:v>
                </c:pt>
                <c:pt idx="5">
                  <c:v>Social</c:v>
                </c:pt>
              </c:strCache>
            </c:strRef>
          </c:cat>
          <c:val>
            <c:numRef>
              <c:f>PivotTables!$F$3:$F$9</c:f>
              <c:numCache>
                <c:formatCode>General</c:formatCode>
                <c:ptCount val="6"/>
                <c:pt idx="0">
                  <c:v>16.500000000000004</c:v>
                </c:pt>
                <c:pt idx="1">
                  <c:v>2.5000000000000004</c:v>
                </c:pt>
                <c:pt idx="2">
                  <c:v>0.75</c:v>
                </c:pt>
                <c:pt idx="3">
                  <c:v>1.2499999999999982</c:v>
                </c:pt>
                <c:pt idx="4">
                  <c:v>0.50000000000000089</c:v>
                </c:pt>
                <c:pt idx="5">
                  <c:v>4.2500000000000036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3D6-4327-8605-27220202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Pass</a:t>
            </a:r>
            <a:r>
              <a:rPr lang="en-CA" baseline="0"/>
              <a:t> Overall Average vs Goals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PivotTables!$V$2</c:f>
              <c:strCache>
                <c:ptCount val="1"/>
                <c:pt idx="0">
                  <c:v>Current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PivotTables!$R$3:$R$8</c:f>
              <c:strCache>
                <c:ptCount val="6"/>
                <c:pt idx="0">
                  <c:v>Academics</c:v>
                </c:pt>
                <c:pt idx="1">
                  <c:v>Exercise</c:v>
                </c:pt>
                <c:pt idx="2">
                  <c:v>Extracurricular</c:v>
                </c:pt>
                <c:pt idx="3">
                  <c:v>Other</c:v>
                </c:pt>
                <c:pt idx="4">
                  <c:v>Routine Tasks</c:v>
                </c:pt>
                <c:pt idx="5">
                  <c:v>Social</c:v>
                </c:pt>
              </c:strCache>
            </c:strRef>
          </c:cat>
          <c:val>
            <c:numRef>
              <c:f>PivotTables!$V$3:$V$8</c:f>
              <c:numCache>
                <c:formatCode>0.00</c:formatCode>
                <c:ptCount val="6"/>
                <c:pt idx="0">
                  <c:v>4.6348314606741582E-2</c:v>
                </c:pt>
                <c:pt idx="1">
                  <c:v>7.0224719101123611E-3</c:v>
                </c:pt>
                <c:pt idx="2">
                  <c:v>2.1067415730337078E-3</c:v>
                </c:pt>
                <c:pt idx="3">
                  <c:v>3.5112359550561749E-3</c:v>
                </c:pt>
                <c:pt idx="4">
                  <c:v>1.4044943820224745E-3</c:v>
                </c:pt>
                <c:pt idx="5">
                  <c:v>1.1938202247191021E-2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8-4698-8267-779560629852}"/>
            </c:ext>
          </c:extLst>
        </c:ser>
        <c:ser>
          <c:idx val="1"/>
          <c:order val="1"/>
          <c:tx>
            <c:strRef>
              <c:f>PivotTables!$W$2</c:f>
              <c:strCache>
                <c:ptCount val="1"/>
                <c:pt idx="0">
                  <c:v>Goals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PivotTables!$R$3:$R$8</c:f>
              <c:strCache>
                <c:ptCount val="6"/>
                <c:pt idx="0">
                  <c:v>Academics</c:v>
                </c:pt>
                <c:pt idx="1">
                  <c:v>Exercise</c:v>
                </c:pt>
                <c:pt idx="2">
                  <c:v>Extracurricular</c:v>
                </c:pt>
                <c:pt idx="3">
                  <c:v>Other</c:v>
                </c:pt>
                <c:pt idx="4">
                  <c:v>Routine Tasks</c:v>
                </c:pt>
                <c:pt idx="5">
                  <c:v>Social</c:v>
                </c:pt>
              </c:strCache>
            </c:strRef>
          </c:cat>
          <c:val>
            <c:numRef>
              <c:f>PivotTables!$W$3:$W$8</c:f>
              <c:numCache>
                <c:formatCode>General</c:formatCode>
                <c:ptCount val="6"/>
                <c:pt idx="0">
                  <c:v>23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8-4698-8267-779560629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8255840"/>
        <c:axId val="927720400"/>
      </c:barChart>
      <c:catAx>
        <c:axId val="92825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20400"/>
        <c:crosses val="autoZero"/>
        <c:auto val="1"/>
        <c:lblAlgn val="ctr"/>
        <c:lblOffset val="100"/>
        <c:noMultiLvlLbl val="0"/>
      </c:catAx>
      <c:valAx>
        <c:axId val="92772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25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rawpixel.com/search/schedule" TargetMode="External"/><Relationship Id="rId1" Type="http://schemas.openxmlformats.org/officeDocument/2006/relationships/image" Target="../media/image1.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467828</xdr:colOff>
      <xdr:row>0</xdr:row>
      <xdr:rowOff>24849</xdr:rowOff>
    </xdr:from>
    <xdr:to>
      <xdr:col>23</xdr:col>
      <xdr:colOff>71893</xdr:colOff>
      <xdr:row>34</xdr:row>
      <xdr:rowOff>10271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20350" y="24849"/>
          <a:ext cx="5567543" cy="6180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471488</xdr:colOff>
          <xdr:row>12</xdr:row>
          <xdr:rowOff>85725</xdr:rowOff>
        </xdr:from>
        <xdr:to>
          <xdr:col>20</xdr:col>
          <xdr:colOff>28575</xdr:colOff>
          <xdr:row>14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471488</xdr:colOff>
          <xdr:row>9</xdr:row>
          <xdr:rowOff>85725</xdr:rowOff>
        </xdr:from>
        <xdr:to>
          <xdr:col>20</xdr:col>
          <xdr:colOff>28575</xdr:colOff>
          <xdr:row>11</xdr:row>
          <xdr:rowOff>85725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Tutorial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481013</xdr:colOff>
          <xdr:row>15</xdr:row>
          <xdr:rowOff>14288</xdr:rowOff>
        </xdr:from>
        <xdr:to>
          <xdr:col>20</xdr:col>
          <xdr:colOff>14288</xdr:colOff>
          <xdr:row>17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Estimated Study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485775</xdr:colOff>
          <xdr:row>17</xdr:row>
          <xdr:rowOff>180975</xdr:rowOff>
        </xdr:from>
        <xdr:to>
          <xdr:col>20</xdr:col>
          <xdr:colOff>38100</xdr:colOff>
          <xdr:row>19</xdr:row>
          <xdr:rowOff>142875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Manual BackUp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14</xdr:col>
      <xdr:colOff>191346</xdr:colOff>
      <xdr:row>33</xdr:row>
      <xdr:rowOff>172448</xdr:rowOff>
    </xdr:to>
    <xdr:pic>
      <xdr:nvPicPr>
        <xdr:cNvPr id="3" name="Picture 2" descr="A group of people holding signs and clocks&#10;&#10;Description automatically generate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0"/>
          <a:ext cx="8602654" cy="6217160"/>
        </a:xfrm>
        <a:prstGeom prst="rect">
          <a:avLst/>
        </a:prstGeom>
      </xdr:spPr>
    </xdr:pic>
    <xdr:clientData/>
  </xdr:twoCellAnchor>
  <xdr:twoCellAnchor>
    <xdr:from>
      <xdr:col>15</xdr:col>
      <xdr:colOff>505527</xdr:colOff>
      <xdr:row>4</xdr:row>
      <xdr:rowOff>25238</xdr:rowOff>
    </xdr:from>
    <xdr:to>
      <xdr:col>22</xdr:col>
      <xdr:colOff>138995</xdr:colOff>
      <xdr:row>7</xdr:row>
      <xdr:rowOff>90265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450744" y="754108"/>
          <a:ext cx="3807903" cy="61167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3200" b="1"/>
            <a:t>Time2Thrive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1326038</xdr:colOff>
      <xdr:row>1</xdr:row>
      <xdr:rowOff>10634</xdr:rowOff>
    </xdr:from>
    <xdr:to>
      <xdr:col>10</xdr:col>
      <xdr:colOff>1526530</xdr:colOff>
      <xdr:row>2</xdr:row>
      <xdr:rowOff>2426</xdr:rowOff>
    </xdr:to>
    <xdr:grpSp>
      <xdr:nvGrpSpPr>
        <xdr:cNvPr id="37" name="Group 1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 rot="10800000">
          <a:off x="13451106" y="184402"/>
          <a:ext cx="200492" cy="242788"/>
          <a:chOff x="13879986" y="292132"/>
          <a:chExt cx="252855" cy="274950"/>
        </a:xfrm>
        <a:solidFill>
          <a:srgbClr val="AAE3F5"/>
        </a:solidFill>
      </xdr:grpSpPr>
      <xdr:sp macro="[0]!NextSunday" textlink="">
        <xdr:nvSpPr>
          <xdr:cNvPr id="38" name="Rectangle 13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13879986" y="292132"/>
            <a:ext cx="252855" cy="274950"/>
          </a:xfrm>
          <a:prstGeom prst="rect">
            <a:avLst/>
          </a:prstGeom>
          <a:grpFill/>
          <a:ln>
            <a:solidFill>
              <a:srgbClr val="098BF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NextSunday" textlink="">
        <xdr:nvSpPr>
          <xdr:cNvPr id="39" name="Arrow: Left 14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3942582" y="383884"/>
            <a:ext cx="126433" cy="94821"/>
          </a:xfrm>
          <a:prstGeom prst="leftArrow">
            <a:avLst/>
          </a:prstGeom>
          <a:grpFill/>
          <a:ln>
            <a:solidFill>
              <a:srgbClr val="098BF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10</xdr:col>
      <xdr:colOff>9524</xdr:colOff>
      <xdr:row>0</xdr:row>
      <xdr:rowOff>161925</xdr:rowOff>
    </xdr:from>
    <xdr:to>
      <xdr:col>10</xdr:col>
      <xdr:colOff>255269</xdr:colOff>
      <xdr:row>2</xdr:row>
      <xdr:rowOff>15287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2134592" y="161925"/>
          <a:ext cx="245745" cy="278126"/>
          <a:chOff x="13879986" y="292132"/>
          <a:chExt cx="252855" cy="274950"/>
        </a:xfrm>
      </xdr:grpSpPr>
      <xdr:sp macro="[0]!LastSunday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3879986" y="292132"/>
            <a:ext cx="252855" cy="274950"/>
          </a:xfrm>
          <a:prstGeom prst="rect">
            <a:avLst/>
          </a:prstGeom>
          <a:solidFill>
            <a:srgbClr val="67D2EF"/>
          </a:solidFill>
          <a:ln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LastSunday" textlink="">
        <xdr:nvSpPr>
          <xdr:cNvPr id="9" name="Arrow: Lef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3942582" y="383884"/>
            <a:ext cx="126433" cy="94821"/>
          </a:xfrm>
          <a:prstGeom prst="leftArrow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10</xdr:col>
      <xdr:colOff>1321250</xdr:colOff>
      <xdr:row>1</xdr:row>
      <xdr:rowOff>893</xdr:rowOff>
    </xdr:from>
    <xdr:to>
      <xdr:col>11</xdr:col>
      <xdr:colOff>19916</xdr:colOff>
      <xdr:row>1</xdr:row>
      <xdr:rowOff>243979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 rot="10800000">
          <a:off x="13446318" y="174661"/>
          <a:ext cx="294747" cy="243086"/>
          <a:chOff x="13879986" y="292132"/>
          <a:chExt cx="252855" cy="274950"/>
        </a:xfrm>
      </xdr:grpSpPr>
      <xdr:sp macro="[0]!NextSunday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13879986" y="292132"/>
            <a:ext cx="252855" cy="274950"/>
          </a:xfrm>
          <a:prstGeom prst="rect">
            <a:avLst/>
          </a:prstGeom>
          <a:solidFill>
            <a:srgbClr val="67D2EF"/>
          </a:solidFill>
          <a:ln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NextSunday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3942582" y="383884"/>
            <a:ext cx="126433" cy="94821"/>
          </a:xfrm>
          <a:prstGeom prst="leftArrow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10</xdr:col>
      <xdr:colOff>17168</xdr:colOff>
      <xdr:row>29</xdr:row>
      <xdr:rowOff>35543</xdr:rowOff>
    </xdr:from>
    <xdr:to>
      <xdr:col>10</xdr:col>
      <xdr:colOff>1529715</xdr:colOff>
      <xdr:row>62</xdr:row>
      <xdr:rowOff>21763</xdr:rowOff>
    </xdr:to>
    <xdr:pic>
      <xdr:nvPicPr>
        <xdr:cNvPr id="3" name="Picture 2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85293" y="2512043"/>
          <a:ext cx="1573507" cy="249701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9</xdr:col>
      <xdr:colOff>825588</xdr:colOff>
      <xdr:row>15</xdr:row>
      <xdr:rowOff>12379</xdr:rowOff>
    </xdr:from>
    <xdr:to>
      <xdr:col>11</xdr:col>
      <xdr:colOff>20896</xdr:colOff>
      <xdr:row>21</xdr:row>
      <xdr:rowOff>31838</xdr:rowOff>
    </xdr:to>
    <xdr:sp macro="[0]!RecurringEventsForm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1665038" y="1422079"/>
          <a:ext cx="1405108" cy="476659"/>
        </a:xfrm>
        <a:prstGeom prst="rect">
          <a:avLst/>
        </a:prstGeom>
        <a:solidFill>
          <a:srgbClr val="B6D1F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Book Antiqua" panose="02040602050305030304" pitchFamily="18" charset="0"/>
            </a:rPr>
            <a:t>Insert</a:t>
          </a:r>
          <a:r>
            <a:rPr lang="en-US" sz="1100" baseline="0">
              <a:solidFill>
                <a:sysClr val="windowText" lastClr="000000"/>
              </a:solidFill>
              <a:latin typeface="Book Antiqua" panose="02040602050305030304" pitchFamily="18" charset="0"/>
            </a:rPr>
            <a:t> Recurring Events</a:t>
          </a:r>
          <a:endParaRPr lang="en-US" sz="1100">
            <a:solidFill>
              <a:sysClr val="windowText" lastClr="000000"/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10</xdr:col>
      <xdr:colOff>518</xdr:colOff>
      <xdr:row>23</xdr:row>
      <xdr:rowOff>6742</xdr:rowOff>
    </xdr:from>
    <xdr:to>
      <xdr:col>11</xdr:col>
      <xdr:colOff>28123</xdr:colOff>
      <xdr:row>28</xdr:row>
      <xdr:rowOff>36788</xdr:rowOff>
    </xdr:to>
    <xdr:sp macro="[0]!DeleteEventsForm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1668643" y="2026042"/>
          <a:ext cx="1408730" cy="411046"/>
        </a:xfrm>
        <a:prstGeom prst="rect">
          <a:avLst/>
        </a:prstGeom>
        <a:solidFill>
          <a:srgbClr val="B6D1F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Book Antiqua" panose="02040602050305030304" pitchFamily="18" charset="0"/>
            </a:rPr>
            <a:t>Delete</a:t>
          </a:r>
          <a:r>
            <a:rPr lang="en-US" sz="1100" baseline="0">
              <a:solidFill>
                <a:sysClr val="windowText" lastClr="000000"/>
              </a:solidFill>
              <a:latin typeface="Book Antiqua" panose="02040602050305030304" pitchFamily="18" charset="0"/>
            </a:rPr>
            <a:t> Events</a:t>
          </a:r>
          <a:endParaRPr lang="en-US" sz="1100">
            <a:solidFill>
              <a:sysClr val="windowText" lastClr="000000"/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10</xdr:col>
      <xdr:colOff>3110</xdr:colOff>
      <xdr:row>7</xdr:row>
      <xdr:rowOff>60931</xdr:rowOff>
    </xdr:from>
    <xdr:to>
      <xdr:col>11</xdr:col>
      <xdr:colOff>21388</xdr:colOff>
      <xdr:row>13</xdr:row>
      <xdr:rowOff>65657</xdr:rowOff>
    </xdr:to>
    <xdr:sp macro="[0]!KnownEventsForm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11671235" y="861031"/>
          <a:ext cx="1399403" cy="461926"/>
        </a:xfrm>
        <a:prstGeom prst="rect">
          <a:avLst/>
        </a:prstGeom>
        <a:solidFill>
          <a:srgbClr val="B6D1F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Book Antiqua" panose="02040602050305030304" pitchFamily="18" charset="0"/>
            </a:rPr>
            <a:t>Insert Known Events</a:t>
          </a:r>
        </a:p>
      </xdr:txBody>
    </xdr:sp>
    <xdr:clientData/>
  </xdr:twoCellAnchor>
  <xdr:twoCellAnchor>
    <xdr:from>
      <xdr:col>10</xdr:col>
      <xdr:colOff>16179</xdr:colOff>
      <xdr:row>63</xdr:row>
      <xdr:rowOff>58039</xdr:rowOff>
    </xdr:from>
    <xdr:to>
      <xdr:col>11</xdr:col>
      <xdr:colOff>32703</xdr:colOff>
      <xdr:row>69</xdr:row>
      <xdr:rowOff>60861</xdr:rowOff>
    </xdr:to>
    <xdr:sp macro="[0]!_xludf.Break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84304" y="5125339"/>
          <a:ext cx="1397649" cy="460022"/>
        </a:xfrm>
        <a:prstGeom prst="rect">
          <a:avLst/>
        </a:prstGeom>
        <a:solidFill>
          <a:srgbClr val="B6D1F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Book Antiqua" panose="02040602050305030304" pitchFamily="18" charset="0"/>
            </a:rPr>
            <a:t>Pomodoro</a:t>
          </a:r>
          <a:r>
            <a:rPr lang="en-US" sz="1100" baseline="0">
              <a:solidFill>
                <a:sysClr val="windowText" lastClr="000000"/>
              </a:solidFill>
              <a:latin typeface="Book Antiqua" panose="02040602050305030304" pitchFamily="18" charset="0"/>
            </a:rPr>
            <a:t> Timer</a:t>
          </a:r>
          <a:endParaRPr lang="en-US" sz="1100">
            <a:solidFill>
              <a:sysClr val="windowText" lastClr="000000"/>
            </a:solidFill>
            <a:latin typeface="Book Antiqua" panose="0204060205030503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106886</xdr:colOff>
      <xdr:row>1</xdr:row>
      <xdr:rowOff>229829</xdr:rowOff>
    </xdr:from>
    <xdr:to>
      <xdr:col>7</xdr:col>
      <xdr:colOff>1340300</xdr:colOff>
      <xdr:row>3</xdr:row>
      <xdr:rowOff>11502</xdr:rowOff>
    </xdr:to>
    <xdr:sp macro="[0]!InputDeadlinesForm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240995" y="548484"/>
          <a:ext cx="1233414" cy="432836"/>
        </a:xfrm>
        <a:prstGeom prst="rect">
          <a:avLst/>
        </a:prstGeom>
        <a:solidFill>
          <a:srgbClr val="FADDC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Book Antiqua" panose="02040602050305030304" pitchFamily="18" charset="0"/>
            </a:rPr>
            <a:t>Input</a:t>
          </a:r>
          <a:r>
            <a:rPr lang="en-US" sz="1100" baseline="0">
              <a:solidFill>
                <a:sysClr val="windowText" lastClr="000000"/>
              </a:solidFill>
              <a:latin typeface="Book Antiqua" panose="02040602050305030304" pitchFamily="18" charset="0"/>
            </a:rPr>
            <a:t> Deadlines</a:t>
          </a:r>
          <a:endParaRPr lang="en-US" sz="1100">
            <a:solidFill>
              <a:sysClr val="windowText" lastClr="000000"/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7</xdr:col>
      <xdr:colOff>290863</xdr:colOff>
      <xdr:row>9</xdr:row>
      <xdr:rowOff>3195</xdr:rowOff>
    </xdr:from>
    <xdr:to>
      <xdr:col>7</xdr:col>
      <xdr:colOff>1137884</xdr:colOff>
      <xdr:row>11</xdr:row>
      <xdr:rowOff>129047</xdr:rowOff>
    </xdr:to>
    <xdr:sp macro="[0]!AddTas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3983850" y="1895410"/>
          <a:ext cx="847021" cy="432697"/>
        </a:xfrm>
        <a:prstGeom prst="rect">
          <a:avLst/>
        </a:prstGeom>
        <a:solidFill>
          <a:srgbClr val="FADDC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Book Antiqua" panose="02040602050305030304" pitchFamily="18" charset="0"/>
            </a:rPr>
            <a:t>Ad</a:t>
          </a:r>
          <a:r>
            <a:rPr lang="en-US" sz="1100" baseline="0">
              <a:solidFill>
                <a:sysClr val="windowText" lastClr="000000"/>
              </a:solidFill>
              <a:latin typeface="Book Antiqua" panose="02040602050305030304" pitchFamily="18" charset="0"/>
            </a:rPr>
            <a:t>d Item</a:t>
          </a:r>
          <a:endParaRPr lang="en-US" sz="1100">
            <a:solidFill>
              <a:sysClr val="windowText" lastClr="000000"/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7</xdr:col>
      <xdr:colOff>297255</xdr:colOff>
      <xdr:row>12</xdr:row>
      <xdr:rowOff>121460</xdr:rowOff>
    </xdr:from>
    <xdr:to>
      <xdr:col>7</xdr:col>
      <xdr:colOff>1153866</xdr:colOff>
      <xdr:row>16</xdr:row>
      <xdr:rowOff>34847</xdr:rowOff>
    </xdr:to>
    <xdr:sp macro="[0]!UpdateProgress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3998155" y="2450439"/>
          <a:ext cx="856611" cy="517412"/>
        </a:xfrm>
        <a:prstGeom prst="rect">
          <a:avLst/>
        </a:prstGeom>
        <a:solidFill>
          <a:srgbClr val="FADDC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  <a:latin typeface="Book Antiqua" panose="02040602050305030304" pitchFamily="18" charset="0"/>
            </a:rPr>
            <a:t>Update Progress</a:t>
          </a:r>
          <a:endParaRPr lang="en-US" sz="1100">
            <a:solidFill>
              <a:sysClr val="windowText" lastClr="000000"/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3</xdr:col>
      <xdr:colOff>456442</xdr:colOff>
      <xdr:row>23</xdr:row>
      <xdr:rowOff>38657</xdr:rowOff>
    </xdr:from>
    <xdr:to>
      <xdr:col>7</xdr:col>
      <xdr:colOff>1356731</xdr:colOff>
      <xdr:row>46</xdr:row>
      <xdr:rowOff>79260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548640</xdr:colOff>
      <xdr:row>17</xdr:row>
      <xdr:rowOff>20953</xdr:rowOff>
    </xdr:from>
    <xdr:to>
      <xdr:col>7</xdr:col>
      <xdr:colOff>219075</xdr:colOff>
      <xdr:row>35</xdr:row>
      <xdr:rowOff>38100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526597</xdr:colOff>
      <xdr:row>0</xdr:row>
      <xdr:rowOff>172267</xdr:rowOff>
    </xdr:from>
    <xdr:to>
      <xdr:col>19</xdr:col>
      <xdr:colOff>594088</xdr:colOff>
      <xdr:row>16</xdr:row>
      <xdr:rowOff>12790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605517</xdr:colOff>
      <xdr:row>11</xdr:row>
      <xdr:rowOff>-1</xdr:rowOff>
    </xdr:from>
    <xdr:to>
      <xdr:col>3</xdr:col>
      <xdr:colOff>530678</xdr:colOff>
      <xdr:row>13</xdr:row>
      <xdr:rowOff>91440</xdr:rowOff>
    </xdr:to>
    <xdr:sp macro="[0]!GoalSettingFOrm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204231" y="1973035"/>
          <a:ext cx="2537733" cy="44522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Goal</a:t>
          </a:r>
          <a:r>
            <a:rPr lang="en-US" sz="1100" baseline="0"/>
            <a:t> Setting</a:t>
          </a:r>
          <a:endParaRPr lang="en-US" sz="1100"/>
        </a:p>
      </xdr:txBody>
    </xdr:sp>
    <xdr:clientData/>
  </xdr:twoCellAnchor>
  <xdr:twoCellAnchor>
    <xdr:from>
      <xdr:col>8</xdr:col>
      <xdr:colOff>66675</xdr:colOff>
      <xdr:row>16</xdr:row>
      <xdr:rowOff>172810</xdr:rowOff>
    </xdr:from>
    <xdr:to>
      <xdr:col>19</xdr:col>
      <xdr:colOff>588372</xdr:colOff>
      <xdr:row>34</xdr:row>
      <xdr:rowOff>173355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373108</xdr:colOff>
      <xdr:row>10</xdr:row>
      <xdr:rowOff>152400</xdr:rowOff>
    </xdr:from>
    <xdr:to>
      <xdr:col>10</xdr:col>
      <xdr:colOff>266701</xdr:colOff>
      <xdr:row>13</xdr:row>
      <xdr:rowOff>66676</xdr:rowOff>
    </xdr:to>
    <xdr:sp macro="[0]!TimeManagementAdvic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964283" y="1981200"/>
          <a:ext cx="2322468" cy="4572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</a:t>
          </a:r>
          <a:r>
            <a:rPr lang="en-US" sz="1100" baseline="0"/>
            <a:t> Time Management Advice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709613</xdr:colOff>
          <xdr:row>113</xdr:row>
          <xdr:rowOff>23813</xdr:rowOff>
        </xdr:from>
        <xdr:to>
          <xdr:col>1</xdr:col>
          <xdr:colOff>900113</xdr:colOff>
          <xdr:row>115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Single Event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442913</xdr:colOff>
          <xdr:row>113</xdr:row>
          <xdr:rowOff>14288</xdr:rowOff>
        </xdr:from>
        <xdr:to>
          <xdr:col>4</xdr:col>
          <xdr:colOff>342900</xdr:colOff>
          <xdr:row>115</xdr:row>
          <xdr:rowOff>61913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Recurring Event Test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 David" refreshedDate="45264.893479398146" createdVersion="8" refreshedVersion="8" minRefreshableVersion="3" recordCount="22" xr:uid="{D7ED614A-0EDD-4455-997D-A5A0A1F855D7}">
  <cacheSource type="worksheet">
    <worksheetSource name="MasterTable"/>
  </cacheSource>
  <cacheFields count="18">
    <cacheField name="ID" numFmtId="1">
      <sharedItems/>
    </cacheField>
    <cacheField name="Name" numFmtId="0">
      <sharedItems/>
    </cacheField>
    <cacheField name="Type" numFmtId="0">
      <sharedItems containsBlank="1" count="7">
        <s v="Exercise"/>
        <s v="Other"/>
        <s v="Academics"/>
        <s v="Social"/>
        <s v="Extracurricular"/>
        <s v="Routine Tasks"/>
        <m u="1"/>
      </sharedItems>
    </cacheField>
    <cacheField name="Date" numFmtId="14">
      <sharedItems containsSemiMixedTypes="0" containsNonDate="0" containsDate="1" containsString="0" minDate="2023-11-18T00:00:00" maxDate="2023-12-29T00:00:00"/>
    </cacheField>
    <cacheField name="Start Time" numFmtId="165">
      <sharedItems containsSemiMixedTypes="0" containsNonDate="0" containsDate="1" containsString="0" minDate="1899-12-30T07:01:00" maxDate="1899-12-30T21:17:00"/>
    </cacheField>
    <cacheField name="End Time" numFmtId="165">
      <sharedItems containsSemiMixedTypes="0" containsNonDate="0" containsDate="1" containsString="0" minDate="1899-12-30T08:54:00" maxDate="1899-12-30T21:43:00"/>
    </cacheField>
    <cacheField name="Start Time Adj" numFmtId="165">
      <sharedItems containsSemiMixedTypes="0" containsNonDate="0" containsDate="1" containsString="0" minDate="1899-12-30T07:00:00" maxDate="1899-12-30T21:15:00"/>
    </cacheField>
    <cacheField name="End Time Adj" numFmtId="165">
      <sharedItems containsSemiMixedTypes="0" containsNonDate="0" containsDate="1" containsString="0" minDate="1899-12-30T09:00:00" maxDate="1899-12-30T21:45:00"/>
    </cacheField>
    <cacheField name="Travel ST" numFmtId="165">
      <sharedItems containsSemiMixedTypes="0" containsNonDate="0" containsDate="1" containsString="0" minDate="1899-12-30T06:54:00" maxDate="1899-12-30T21:00:00"/>
    </cacheField>
    <cacheField name="Rd Travel ST" numFmtId="165">
      <sharedItems containsSemiMixedTypes="0" containsNonDate="0" containsDate="1" containsString="0" minDate="1899-12-30T07:00:00" maxDate="1899-12-30T21:00:00"/>
    </cacheField>
    <cacheField name="Daily E HL" numFmtId="1">
      <sharedItems containsSemiMixedTypes="0" containsString="0" containsNumber="1" minValue="0" maxValue="2.0000000000000036"/>
    </cacheField>
    <cacheField name="Daily E HL2" numFmtId="1">
      <sharedItems containsSemiMixedTypes="0" containsString="0" containsNumber="1" minValue="0.99999999999999645" maxValue="8.0000000000000036"/>
    </cacheField>
    <cacheField name="Wky HL" numFmtId="1">
      <sharedItems containsSemiMixedTypes="0" containsString="0" containsNumber="1" minValue="2.0000000000000036" maxValue="9"/>
    </cacheField>
    <cacheField name="Travel Time" numFmtId="168">
      <sharedItems containsSemiMixedTypes="0" containsNonDate="0" containsDate="1" containsString="0" minDate="1899-12-30T00:05:00" maxDate="1899-12-30T00:30:00" count="14">
        <d v="1899-12-30T00:21:00"/>
        <d v="1899-12-30T00:30:00"/>
        <d v="1899-12-30T00:07:00"/>
        <d v="1899-12-30T00:15:00"/>
        <d v="1899-12-30T00:10:00"/>
        <d v="1899-12-30T00:20:00"/>
        <d v="1899-12-30T00:24:00"/>
        <d v="1899-12-30T00:27:00"/>
        <d v="1899-12-30T00:05:00"/>
        <d v="1899-12-30T00:17:00"/>
        <d v="1899-12-30T00:22:00"/>
        <d v="1899-12-30T00:11:00"/>
        <d v="1899-12-30T00:16:00"/>
        <d v="1899-12-30T00:25:00" u="1"/>
      </sharedItems>
      <fieldGroup par="17"/>
    </cacheField>
    <cacheField name="Note" numFmtId="1">
      <sharedItems/>
    </cacheField>
    <cacheField name="Time Spent" numFmtId="2">
      <sharedItems containsSemiMixedTypes="0" containsString="0" containsNumber="1" minValue="0.24999999999999911" maxValue="2.0000000000000009"/>
    </cacheField>
    <cacheField name="Minutes (Travel Time)" numFmtId="0" databaseField="0">
      <fieldGroup base="13">
        <rangePr groupBy="minutes" startDate="1899-12-30T00:05:00" endDate="1899-12-30T00:30:00"/>
        <groupItems count="62">
          <s v="&lt;1900-01-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00-01-00"/>
        </groupItems>
      </fieldGroup>
    </cacheField>
    <cacheField name="Hours (Travel Time)" numFmtId="0" databaseField="0">
      <fieldGroup base="13">
        <rangePr groupBy="hours" startDate="1899-12-30T00:05:00" endDate="1899-12-30T00:30:00"/>
        <groupItems count="26">
          <s v="&lt;1900-01-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00-01-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 David" refreshedDate="45264.893479976854" createdVersion="8" refreshedVersion="8" minRefreshableVersion="3" recordCount="22" xr:uid="{3A023250-2047-4C5B-A332-979AE0DBD99F}">
  <cacheSource type="worksheet">
    <worksheetSource name="MasterTable"/>
  </cacheSource>
  <cacheFields count="16">
    <cacheField name="ID" numFmtId="1">
      <sharedItems/>
    </cacheField>
    <cacheField name="Name" numFmtId="0">
      <sharedItems/>
    </cacheField>
    <cacheField name="Type" numFmtId="0">
      <sharedItems count="6">
        <s v="Exercise"/>
        <s v="Other"/>
        <s v="Academics"/>
        <s v="Social"/>
        <s v="Extracurricular"/>
        <s v="Routine Tasks"/>
      </sharedItems>
    </cacheField>
    <cacheField name="Date" numFmtId="14">
      <sharedItems containsSemiMixedTypes="0" containsNonDate="0" containsDate="1" containsString="0" minDate="2023-10-24T00:00:00" maxDate="2023-12-29T00:00:00" count="17">
        <d v="2023-11-18T00:00:00"/>
        <d v="2023-11-20T00:00:00"/>
        <d v="2023-11-21T00:00:00"/>
        <d v="2023-11-22T00:00:00"/>
        <d v="2023-11-23T00:00:00"/>
        <d v="2023-11-24T00:00:00"/>
        <d v="2023-12-24T00:00:00"/>
        <d v="2023-12-26T00:00:00"/>
        <d v="2023-12-04T00:00:00"/>
        <d v="2023-12-20T00:00:00"/>
        <d v="2023-12-22T00:00:00"/>
        <d v="2023-12-28T00:00:00"/>
        <d v="2023-12-02T00:00:00" u="1"/>
        <d v="2023-11-19T00:00:00" u="1"/>
        <d v="2023-11-25T00:00:00" u="1"/>
        <d v="2023-11-26T00:00:00" u="1"/>
        <d v="2023-10-24T00:00:00" u="1"/>
      </sharedItems>
    </cacheField>
    <cacheField name="Start Time" numFmtId="165">
      <sharedItems containsSemiMixedTypes="0" containsNonDate="0" containsDate="1" containsString="0" minDate="1899-12-30T07:01:00" maxDate="1899-12-30T21:17:00"/>
    </cacheField>
    <cacheField name="End Time" numFmtId="165">
      <sharedItems containsSemiMixedTypes="0" containsNonDate="0" containsDate="1" containsString="0" minDate="1899-12-30T08:54:00" maxDate="1899-12-30T21:43:00"/>
    </cacheField>
    <cacheField name="Start Time Adj" numFmtId="165">
      <sharedItems containsSemiMixedTypes="0" containsNonDate="0" containsDate="1" containsString="0" minDate="1899-12-30T07:00:00" maxDate="1899-12-30T21:15:00"/>
    </cacheField>
    <cacheField name="End Time Adj" numFmtId="165">
      <sharedItems containsSemiMixedTypes="0" containsNonDate="0" containsDate="1" containsString="0" minDate="1899-12-30T09:00:00" maxDate="1899-12-30T21:45:00"/>
    </cacheField>
    <cacheField name="Travel ST" numFmtId="165">
      <sharedItems containsSemiMixedTypes="0" containsNonDate="0" containsDate="1" containsString="0" minDate="1899-12-30T06:54:00" maxDate="1899-12-30T21:00:00"/>
    </cacheField>
    <cacheField name="Rd Travel ST" numFmtId="165">
      <sharedItems containsSemiMixedTypes="0" containsNonDate="0" containsDate="1" containsString="0" minDate="1899-12-30T07:00:00" maxDate="1899-12-30T21:00:00"/>
    </cacheField>
    <cacheField name="Daily E HL" numFmtId="1">
      <sharedItems containsSemiMixedTypes="0" containsString="0" containsNumber="1" minValue="0" maxValue="2.0000000000000036"/>
    </cacheField>
    <cacheField name="Daily E HL2" numFmtId="1">
      <sharedItems containsSemiMixedTypes="0" containsString="0" containsNumber="1" minValue="0.99999999999999645" maxValue="8.0000000000000036"/>
    </cacheField>
    <cacheField name="Wky HL" numFmtId="1">
      <sharedItems containsSemiMixedTypes="0" containsString="0" containsNumber="1" minValue="2.0000000000000036" maxValue="9"/>
    </cacheField>
    <cacheField name="Travel Time" numFmtId="168">
      <sharedItems containsSemiMixedTypes="0" containsNonDate="0" containsDate="1" containsString="0" minDate="1899-12-30T00:05:00" maxDate="1899-12-30T00:30:00"/>
    </cacheField>
    <cacheField name="Note" numFmtId="1">
      <sharedItems/>
    </cacheField>
    <cacheField name="Time Spent" numFmtId="2">
      <sharedItems containsSemiMixedTypes="0" containsString="0" containsNumber="1" minValue="0.24999999999999911" maxValue="2.0000000000000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 David" refreshedDate="45264.893480208331" createdVersion="8" refreshedVersion="8" minRefreshableVersion="3" recordCount="1" xr:uid="{C8D17A91-3807-4F26-8B54-B7A25CB3E085}">
  <cacheSource type="worksheet">
    <worksheetSource name="ToDoTable"/>
  </cacheSource>
  <cacheFields count="3">
    <cacheField name="Task" numFmtId="167">
      <sharedItems containsNonDate="0" containsString="0" containsBlank="1"/>
    </cacheField>
    <cacheField name="Due Date" numFmtId="167">
      <sharedItems containsNonDate="0" containsString="0" containsBlank="1"/>
    </cacheField>
    <cacheField name="Status" numFmtId="0">
      <sharedItems containsNonDate="0" containsBlank="1" count="4">
        <m/>
        <s v="Ongoing" u="1"/>
        <s v="Incomplete" u="1"/>
        <s v="Complet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ly Hayakawa" refreshedDate="45264.973190277778" createdVersion="8" refreshedVersion="8" minRefreshableVersion="3" recordCount="2" xr:uid="{55DE2EA7-F819-420F-8857-B654F01F3D31}">
  <cacheSource type="worksheet">
    <worksheetSource name="ToDoTable"/>
  </cacheSource>
  <cacheFields count="3">
    <cacheField name="Task" numFmtId="167">
      <sharedItems/>
    </cacheField>
    <cacheField name="Due Date" numFmtId="167">
      <sharedItems containsSemiMixedTypes="0" containsNonDate="0" containsDate="1" containsString="0" minDate="2023-12-06T00:00:00" maxDate="2023-12-13T00:00:00"/>
    </cacheField>
    <cacheField name="Status" numFmtId="0">
      <sharedItems containsBlank="1" count="4">
        <s v="Incomplete"/>
        <s v="Ongoing"/>
        <m u="1"/>
        <s v="Complet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2023-11-18\Lin Alg\09:55 AM"/>
    <s v="Lin Alg"/>
    <x v="0"/>
    <d v="2023-11-18T00:00:00"/>
    <d v="1899-12-30T09:55:00"/>
    <d v="1899-12-30T10:12:00"/>
    <d v="1899-12-30T10:00:00"/>
    <d v="1899-12-30T10:15:00"/>
    <d v="1899-12-30T09:34:00"/>
    <d v="1899-12-30T09:30:00"/>
    <n v="1.9999999999999982"/>
    <n v="1.0000000000000018"/>
    <n v="3"/>
    <x v="0"/>
    <s v="Big Pharma Bad"/>
    <n v="0.25000000000000044"/>
  </r>
  <r>
    <s v="2023-11-20\MSCI 212\02:08 PM"/>
    <s v="MSCI 212"/>
    <x v="1"/>
    <d v="2023-11-20T00:00:00"/>
    <d v="1899-12-30T14:08:00"/>
    <d v="1899-12-30T15:25:00"/>
    <d v="1899-12-30T14:15:00"/>
    <d v="1899-12-30T15:30:00"/>
    <d v="1899-12-30T13:38:00"/>
    <d v="1899-12-30T13:45:00"/>
    <n v="2.0000000000000036"/>
    <n v="4.9999999999999929"/>
    <n v="6.9999999999999964"/>
    <x v="1"/>
    <s v="Big Pharma Bad"/>
    <n v="1.2499999999999982"/>
  </r>
  <r>
    <s v="2023-11-202023-11-18\Lin Alg\07:01 AM"/>
    <s v="Lin Alg"/>
    <x v="2"/>
    <d v="2023-11-20T00:00:00"/>
    <d v="1899-12-30T07:01:00"/>
    <d v="1899-12-30T08:54:00"/>
    <d v="1899-12-30T07:00:00"/>
    <d v="1899-12-30T09:00:00"/>
    <d v="1899-12-30T06:54:00"/>
    <d v="1899-12-30T07:00:00"/>
    <n v="0"/>
    <n v="8.0000000000000036"/>
    <n v="8.0000000000000036"/>
    <x v="2"/>
    <s v="Big Pharma Bad"/>
    <n v="2.0000000000000009"/>
  </r>
  <r>
    <s v="2023-11-21\Hello\06:32 PM"/>
    <s v="Hello"/>
    <x v="3"/>
    <d v="2023-11-21T00:00:00"/>
    <d v="1899-12-30T18:32:00"/>
    <d v="1899-12-30T19:48:00"/>
    <d v="1899-12-30T18:30:00"/>
    <d v="1899-12-30T19:45:00"/>
    <d v="1899-12-30T18:17:00"/>
    <d v="1899-12-30T18:15:00"/>
    <n v="0.99999999999999645"/>
    <n v="5.0000000000000036"/>
    <n v="6"/>
    <x v="3"/>
    <s v="Big Pharma Bad"/>
    <n v="1.2500000000000009"/>
  </r>
  <r>
    <s v="2023-11-21\Key Chain\9:00 am"/>
    <s v="Key Chain"/>
    <x v="3"/>
    <d v="2023-11-21T00:00:00"/>
    <d v="1899-12-30T09:00:00"/>
    <d v="1899-12-30T10:00:00"/>
    <d v="1899-12-30T09:00:00"/>
    <d v="1899-12-30T10:00:00"/>
    <d v="1899-12-30T08:50:00"/>
    <d v="1899-12-30T08:45:00"/>
    <n v="1.0000000000000018"/>
    <n v="3.9999999999999964"/>
    <n v="4.9999999999999982"/>
    <x v="4"/>
    <s v="Big Pharma Bad"/>
    <n v="0.99999999999999911"/>
  </r>
  <r>
    <s v="2023-11-21\Lin Alg\01:23 PM"/>
    <s v="Lin Alg"/>
    <x v="0"/>
    <d v="2023-11-21T00:00:00"/>
    <d v="1899-12-30T13:23:00"/>
    <d v="1899-12-30T13:39:00"/>
    <d v="1899-12-30T13:30:00"/>
    <d v="1899-12-30T13:45:00"/>
    <d v="1899-12-30T13:08:00"/>
    <d v="1899-12-30T13:15:00"/>
    <n v="1.0000000000000071"/>
    <n v="0.99999999999999645"/>
    <n v="2.0000000000000036"/>
    <x v="3"/>
    <s v="Big Pharma Bad"/>
    <n v="0.24999999999999911"/>
  </r>
  <r>
    <s v="2023-11-222023-11-18\Lin Alg\07:01 AM"/>
    <s v="Lin Alg"/>
    <x v="0"/>
    <d v="2023-11-22T00:00:00"/>
    <d v="1899-12-30T07:01:00"/>
    <d v="1899-12-30T08:54:00"/>
    <d v="1899-12-30T07:00:00"/>
    <d v="1899-12-30T09:00:00"/>
    <d v="1899-12-30T06:54:00"/>
    <d v="1899-12-30T07:00:00"/>
    <n v="0"/>
    <n v="8.0000000000000036"/>
    <n v="8.0000000000000036"/>
    <x v="2"/>
    <s v="Big Pharma Bad"/>
    <n v="2.0000000000000009"/>
  </r>
  <r>
    <s v="2023-11-23\Chess\10:42 AM"/>
    <s v="Chess"/>
    <x v="4"/>
    <d v="2023-11-23T00:00:00"/>
    <d v="1899-12-30T10:42:00"/>
    <d v="1899-12-30T11:24:00"/>
    <d v="1899-12-30T10:45:00"/>
    <d v="1899-12-30T11:30:00"/>
    <d v="1899-12-30T10:22:00"/>
    <d v="1899-12-30T10:15:00"/>
    <n v="1.9999999999999982"/>
    <n v="3"/>
    <n v="4.9999999999999982"/>
    <x v="5"/>
    <s v="Big Pharma Bad"/>
    <n v="0.75"/>
  </r>
  <r>
    <s v="2023-11-23\Date\08:43 PM"/>
    <s v="Date"/>
    <x v="3"/>
    <d v="2023-11-23T00:00:00"/>
    <d v="1899-12-30T20:43:00"/>
    <d v="1899-12-30T21:07:00"/>
    <d v="1899-12-30T20:45:00"/>
    <d v="1899-12-30T21:00:00"/>
    <d v="1899-12-30T20:19:00"/>
    <d v="1899-12-30T20:15:00"/>
    <n v="1.9999999999999929"/>
    <n v="1.0000000000000071"/>
    <n v="3"/>
    <x v="6"/>
    <s v="Big Pharma Bad"/>
    <n v="0.25000000000000178"/>
  </r>
  <r>
    <s v="2023-11-23\Math 116\06:32 PM"/>
    <s v="Math 116"/>
    <x v="2"/>
    <d v="2023-11-23T00:00:00"/>
    <d v="1899-12-30T18:32:00"/>
    <d v="1899-12-30T19:48:00"/>
    <d v="1899-12-30T18:30:00"/>
    <d v="1899-12-30T19:45:00"/>
    <d v="1899-12-30T18:12:00"/>
    <d v="1899-12-30T18:15:00"/>
    <n v="0.99999999999999645"/>
    <n v="5.0000000000000036"/>
    <n v="6"/>
    <x v="5"/>
    <s v="Big Pharma Bad"/>
    <n v="1.2500000000000009"/>
  </r>
  <r>
    <s v="2023-11-23\MSCI 212\11:35 AM"/>
    <s v="MSCI 212"/>
    <x v="5"/>
    <d v="2023-11-23T00:00:00"/>
    <d v="1899-12-30T11:35:00"/>
    <d v="1899-12-30T12:05:00"/>
    <d v="1899-12-30T11:30:00"/>
    <d v="1899-12-30T12:00:00"/>
    <d v="1899-12-30T11:08:00"/>
    <d v="1899-12-30T11:15:00"/>
    <n v="0.99999999999999645"/>
    <n v="2.0000000000000036"/>
    <n v="3"/>
    <x v="7"/>
    <s v="Big Pharma Bad"/>
    <n v="0.50000000000000089"/>
  </r>
  <r>
    <s v="2023-11-24\Lin Alg\06:32 PM"/>
    <s v="Lin Alg"/>
    <x v="3"/>
    <d v="2023-11-24T00:00:00"/>
    <d v="1899-12-30T18:32:00"/>
    <d v="1899-12-30T19:48:00"/>
    <d v="1899-12-30T18:30:00"/>
    <d v="1899-12-30T19:45:00"/>
    <d v="1899-12-30T18:22:00"/>
    <d v="1899-12-30T18:15:00"/>
    <n v="0.99999999999999645"/>
    <n v="5.0000000000000036"/>
    <n v="6"/>
    <x v="4"/>
    <s v="Big Pharma Bad"/>
    <n v="1.2500000000000009"/>
  </r>
  <r>
    <s v="2023-11-242023-11-18\Lin Alg\07:01 AM"/>
    <s v="Lin Alg"/>
    <x v="2"/>
    <d v="2023-12-24T00:00:00"/>
    <d v="1899-12-30T07:01:00"/>
    <d v="1899-12-30T08:54:00"/>
    <d v="1899-12-30T07:00:00"/>
    <d v="1899-12-30T09:00:00"/>
    <d v="1899-12-30T06:54:00"/>
    <d v="1899-12-30T07:00:00"/>
    <n v="0"/>
    <n v="8.0000000000000036"/>
    <n v="8.0000000000000036"/>
    <x v="2"/>
    <s v="Big Pharma Bad"/>
    <n v="2.0000000000000009"/>
  </r>
  <r>
    <s v="2023-11-26\Dinner\04:58 PM"/>
    <s v="Dinner"/>
    <x v="3"/>
    <d v="2023-12-26T00:00:00"/>
    <d v="1899-12-30T16:58:00"/>
    <d v="1899-12-30T17:33:00"/>
    <d v="1899-12-30T17:00:00"/>
    <d v="1899-12-30T17:30:00"/>
    <d v="1899-12-30T16:53:00"/>
    <d v="1899-12-30T17:00:00"/>
    <n v="0"/>
    <n v="2.0000000000000036"/>
    <n v="2.0000000000000036"/>
    <x v="8"/>
    <s v="Big Pharma Bad"/>
    <n v="0.50000000000000089"/>
  </r>
  <r>
    <s v="2023-12-04\MSCI 212\09:17 PM"/>
    <s v="MSCI 212"/>
    <x v="2"/>
    <d v="2023-12-04T00:00:00"/>
    <d v="1899-12-30T21:17:00"/>
    <d v="1899-12-30T21:43:00"/>
    <d v="1899-12-30T21:15:00"/>
    <d v="1899-12-30T21:45:00"/>
    <d v="1899-12-30T21:00:00"/>
    <d v="1899-12-30T21:00:00"/>
    <n v="0.99999999999999645"/>
    <n v="2.0000000000000036"/>
    <n v="3"/>
    <x v="9"/>
    <s v="Big Pharma Bad"/>
    <n v="0.50000000000000089"/>
  </r>
  <r>
    <s v="2023-12-20\Happiness\06:32 PM"/>
    <s v="Happiness"/>
    <x v="2"/>
    <d v="2023-12-20T00:00:00"/>
    <d v="1899-12-30T18:32:00"/>
    <d v="1899-12-30T19:48:00"/>
    <d v="1899-12-30T18:30:00"/>
    <d v="1899-12-30T19:45:00"/>
    <d v="1899-12-30T18:22:00"/>
    <d v="1899-12-30T18:15:00"/>
    <n v="0.99999999999999645"/>
    <n v="5.0000000000000036"/>
    <n v="6"/>
    <x v="4"/>
    <s v="Big Pharma Bad"/>
    <n v="1.2500000000000009"/>
  </r>
  <r>
    <s v="2023-12-202023-12-18\Date\11:14 AM"/>
    <s v="Date"/>
    <x v="2"/>
    <d v="2023-12-20T00:00:00"/>
    <d v="1899-12-30T11:14:00"/>
    <d v="1899-12-30T12:54:00"/>
    <d v="1899-12-30T11:15:00"/>
    <d v="1899-12-30T13:00:00"/>
    <d v="1899-12-30T10:52:00"/>
    <d v="1899-12-30T10:45:00"/>
    <n v="2.0000000000000036"/>
    <n v="6.9999999999999964"/>
    <n v="9"/>
    <x v="10"/>
    <s v="Big Pharma Bad"/>
    <n v="1.7499999999999991"/>
  </r>
  <r>
    <s v="2023-12-22\Date\11:02 AM"/>
    <s v="Date"/>
    <x v="2"/>
    <d v="2023-12-22T00:00:00"/>
    <d v="1899-12-30T11:02:00"/>
    <d v="1899-12-30T12:13:00"/>
    <d v="1899-12-30T11:00:00"/>
    <d v="1899-12-30T12:15:00"/>
    <d v="1899-12-30T10:51:00"/>
    <d v="1899-12-30T10:45:00"/>
    <n v="1.0000000000000018"/>
    <n v="4.9999999999999982"/>
    <n v="6"/>
    <x v="11"/>
    <s v="Big Pharma Bad"/>
    <n v="1.2499999999999996"/>
  </r>
  <r>
    <s v="2023-12-24\Happiness\07:57 AM"/>
    <s v="Happiness"/>
    <x v="2"/>
    <d v="2023-12-24T00:00:00"/>
    <d v="1899-12-30T07:57:00"/>
    <d v="1899-12-30T09:16:00"/>
    <d v="1899-12-30T08:00:00"/>
    <d v="1899-12-30T09:15:00"/>
    <d v="1899-12-30T07:41:00"/>
    <d v="1899-12-30T07:45:00"/>
    <n v="1.0000000000000018"/>
    <n v="4.9999999999999982"/>
    <n v="6"/>
    <x v="12"/>
    <s v="Big Pharma Bad"/>
    <n v="1.2499999999999996"/>
  </r>
  <r>
    <s v="2023-12-242023-12-18\Date\11:14 AM"/>
    <s v="Date"/>
    <x v="2"/>
    <d v="2023-12-24T00:00:00"/>
    <d v="1899-12-30T11:14:00"/>
    <d v="1899-12-30T12:54:00"/>
    <d v="1899-12-30T11:15:00"/>
    <d v="1899-12-30T13:00:00"/>
    <d v="1899-12-30T10:52:00"/>
    <d v="1899-12-30T10:45:00"/>
    <n v="2.0000000000000036"/>
    <n v="6.9999999999999964"/>
    <n v="9"/>
    <x v="10"/>
    <s v="Big Pharma Bad"/>
    <n v="1.7499999999999991"/>
  </r>
  <r>
    <s v="2023-12-262023-12-18\Date\11:14 AM"/>
    <s v="Date"/>
    <x v="2"/>
    <d v="2023-12-26T00:00:00"/>
    <d v="1899-12-30T11:14:00"/>
    <d v="1899-12-30T12:54:00"/>
    <d v="1899-12-30T11:15:00"/>
    <d v="1899-12-30T13:00:00"/>
    <d v="1899-12-30T10:52:00"/>
    <d v="1899-12-30T10:45:00"/>
    <n v="2.0000000000000036"/>
    <n v="6.9999999999999964"/>
    <n v="9"/>
    <x v="10"/>
    <s v="Big Pharma Bad"/>
    <n v="1.7499999999999991"/>
  </r>
  <r>
    <s v="2023-12-282023-12-18\Date\11:14 AM"/>
    <s v="Date"/>
    <x v="2"/>
    <d v="2023-12-28T00:00:00"/>
    <d v="1899-12-30T11:14:00"/>
    <d v="1899-12-30T12:54:00"/>
    <d v="1899-12-30T11:15:00"/>
    <d v="1899-12-30T13:00:00"/>
    <d v="1899-12-30T10:52:00"/>
    <d v="1899-12-30T10:45:00"/>
    <n v="2.0000000000000036"/>
    <n v="6.9999999999999964"/>
    <n v="9"/>
    <x v="10"/>
    <s v="Big Pharma Bad"/>
    <n v="1.749999999999999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2023-11-18\Lin Alg\09:55 AM"/>
    <s v="Lin Alg"/>
    <x v="0"/>
    <x v="0"/>
    <d v="1899-12-30T09:55:00"/>
    <d v="1899-12-30T10:12:00"/>
    <d v="1899-12-30T10:00:00"/>
    <d v="1899-12-30T10:15:00"/>
    <d v="1899-12-30T09:34:00"/>
    <d v="1899-12-30T09:30:00"/>
    <n v="1.9999999999999982"/>
    <n v="1.0000000000000018"/>
    <n v="3"/>
    <d v="1899-12-30T00:21:00"/>
    <s v="Big Pharma Bad"/>
    <n v="0.25000000000000044"/>
  </r>
  <r>
    <s v="2023-11-20\MSCI 212\02:08 PM"/>
    <s v="MSCI 212"/>
    <x v="1"/>
    <x v="1"/>
    <d v="1899-12-30T14:08:00"/>
    <d v="1899-12-30T15:25:00"/>
    <d v="1899-12-30T14:15:00"/>
    <d v="1899-12-30T15:30:00"/>
    <d v="1899-12-30T13:38:00"/>
    <d v="1899-12-30T13:45:00"/>
    <n v="2.0000000000000036"/>
    <n v="4.9999999999999929"/>
    <n v="6.9999999999999964"/>
    <d v="1899-12-30T00:30:00"/>
    <s v="Big Pharma Bad"/>
    <n v="1.2499999999999982"/>
  </r>
  <r>
    <s v="2023-11-202023-11-18\Lin Alg\07:01 AM"/>
    <s v="Lin Alg"/>
    <x v="2"/>
    <x v="1"/>
    <d v="1899-12-30T07:01:00"/>
    <d v="1899-12-30T08:54:00"/>
    <d v="1899-12-30T07:00:00"/>
    <d v="1899-12-30T09:00:00"/>
    <d v="1899-12-30T06:54:00"/>
    <d v="1899-12-30T07:00:00"/>
    <n v="0"/>
    <n v="8.0000000000000036"/>
    <n v="8.0000000000000036"/>
    <d v="1899-12-30T00:07:00"/>
    <s v="Big Pharma Bad"/>
    <n v="2.0000000000000009"/>
  </r>
  <r>
    <s v="2023-11-21\Hello\06:32 PM"/>
    <s v="Hello"/>
    <x v="3"/>
    <x v="2"/>
    <d v="1899-12-30T18:32:00"/>
    <d v="1899-12-30T19:48:00"/>
    <d v="1899-12-30T18:30:00"/>
    <d v="1899-12-30T19:45:00"/>
    <d v="1899-12-30T18:17:00"/>
    <d v="1899-12-30T18:15:00"/>
    <n v="0.99999999999999645"/>
    <n v="5.0000000000000036"/>
    <n v="6"/>
    <d v="1899-12-30T00:15:00"/>
    <s v="Big Pharma Bad"/>
    <n v="1.2500000000000009"/>
  </r>
  <r>
    <s v="2023-11-21\Key Chain\9:00 am"/>
    <s v="Key Chain"/>
    <x v="3"/>
    <x v="2"/>
    <d v="1899-12-30T09:00:00"/>
    <d v="1899-12-30T10:00:00"/>
    <d v="1899-12-30T09:00:00"/>
    <d v="1899-12-30T10:00:00"/>
    <d v="1899-12-30T08:50:00"/>
    <d v="1899-12-30T08:45:00"/>
    <n v="1.0000000000000018"/>
    <n v="3.9999999999999964"/>
    <n v="4.9999999999999982"/>
    <d v="1899-12-30T00:10:00"/>
    <s v="Big Pharma Bad"/>
    <n v="0.99999999999999911"/>
  </r>
  <r>
    <s v="2023-11-21\Lin Alg\01:23 PM"/>
    <s v="Lin Alg"/>
    <x v="0"/>
    <x v="2"/>
    <d v="1899-12-30T13:23:00"/>
    <d v="1899-12-30T13:39:00"/>
    <d v="1899-12-30T13:30:00"/>
    <d v="1899-12-30T13:45:00"/>
    <d v="1899-12-30T13:08:00"/>
    <d v="1899-12-30T13:15:00"/>
    <n v="1.0000000000000071"/>
    <n v="0.99999999999999645"/>
    <n v="2.0000000000000036"/>
    <d v="1899-12-30T00:15:00"/>
    <s v="Big Pharma Bad"/>
    <n v="0.24999999999999911"/>
  </r>
  <r>
    <s v="2023-11-222023-11-18\Lin Alg\07:01 AM"/>
    <s v="Lin Alg"/>
    <x v="0"/>
    <x v="3"/>
    <d v="1899-12-30T07:01:00"/>
    <d v="1899-12-30T08:54:00"/>
    <d v="1899-12-30T07:00:00"/>
    <d v="1899-12-30T09:00:00"/>
    <d v="1899-12-30T06:54:00"/>
    <d v="1899-12-30T07:00:00"/>
    <n v="0"/>
    <n v="8.0000000000000036"/>
    <n v="8.0000000000000036"/>
    <d v="1899-12-30T00:07:00"/>
    <s v="Big Pharma Bad"/>
    <n v="2.0000000000000009"/>
  </r>
  <r>
    <s v="2023-11-23\Chess\10:42 AM"/>
    <s v="Chess"/>
    <x v="4"/>
    <x v="4"/>
    <d v="1899-12-30T10:42:00"/>
    <d v="1899-12-30T11:24:00"/>
    <d v="1899-12-30T10:45:00"/>
    <d v="1899-12-30T11:30:00"/>
    <d v="1899-12-30T10:22:00"/>
    <d v="1899-12-30T10:15:00"/>
    <n v="1.9999999999999982"/>
    <n v="3"/>
    <n v="4.9999999999999982"/>
    <d v="1899-12-30T00:20:00"/>
    <s v="Big Pharma Bad"/>
    <n v="0.75"/>
  </r>
  <r>
    <s v="2023-11-23\Date\08:43 PM"/>
    <s v="Date"/>
    <x v="3"/>
    <x v="4"/>
    <d v="1899-12-30T20:43:00"/>
    <d v="1899-12-30T21:07:00"/>
    <d v="1899-12-30T20:45:00"/>
    <d v="1899-12-30T21:00:00"/>
    <d v="1899-12-30T20:19:00"/>
    <d v="1899-12-30T20:15:00"/>
    <n v="1.9999999999999929"/>
    <n v="1.0000000000000071"/>
    <n v="3"/>
    <d v="1899-12-30T00:24:00"/>
    <s v="Big Pharma Bad"/>
    <n v="0.25000000000000178"/>
  </r>
  <r>
    <s v="2023-11-23\Math 116\06:32 PM"/>
    <s v="Math 116"/>
    <x v="2"/>
    <x v="4"/>
    <d v="1899-12-30T18:32:00"/>
    <d v="1899-12-30T19:48:00"/>
    <d v="1899-12-30T18:30:00"/>
    <d v="1899-12-30T19:45:00"/>
    <d v="1899-12-30T18:12:00"/>
    <d v="1899-12-30T18:15:00"/>
    <n v="0.99999999999999645"/>
    <n v="5.0000000000000036"/>
    <n v="6"/>
    <d v="1899-12-30T00:20:00"/>
    <s v="Big Pharma Bad"/>
    <n v="1.2500000000000009"/>
  </r>
  <r>
    <s v="2023-11-23\MSCI 212\11:35 AM"/>
    <s v="MSCI 212"/>
    <x v="5"/>
    <x v="4"/>
    <d v="1899-12-30T11:35:00"/>
    <d v="1899-12-30T12:05:00"/>
    <d v="1899-12-30T11:30:00"/>
    <d v="1899-12-30T12:00:00"/>
    <d v="1899-12-30T11:08:00"/>
    <d v="1899-12-30T11:15:00"/>
    <n v="0.99999999999999645"/>
    <n v="2.0000000000000036"/>
    <n v="3"/>
    <d v="1899-12-30T00:27:00"/>
    <s v="Big Pharma Bad"/>
    <n v="0.50000000000000089"/>
  </r>
  <r>
    <s v="2023-11-24\Lin Alg\06:32 PM"/>
    <s v="Lin Alg"/>
    <x v="3"/>
    <x v="5"/>
    <d v="1899-12-30T18:32:00"/>
    <d v="1899-12-30T19:48:00"/>
    <d v="1899-12-30T18:30:00"/>
    <d v="1899-12-30T19:45:00"/>
    <d v="1899-12-30T18:22:00"/>
    <d v="1899-12-30T18:15:00"/>
    <n v="0.99999999999999645"/>
    <n v="5.0000000000000036"/>
    <n v="6"/>
    <d v="1899-12-30T00:10:00"/>
    <s v="Big Pharma Bad"/>
    <n v="1.2500000000000009"/>
  </r>
  <r>
    <s v="2023-11-242023-11-18\Lin Alg\07:01 AM"/>
    <s v="Lin Alg"/>
    <x v="2"/>
    <x v="6"/>
    <d v="1899-12-30T07:01:00"/>
    <d v="1899-12-30T08:54:00"/>
    <d v="1899-12-30T07:00:00"/>
    <d v="1899-12-30T09:00:00"/>
    <d v="1899-12-30T06:54:00"/>
    <d v="1899-12-30T07:00:00"/>
    <n v="0"/>
    <n v="8.0000000000000036"/>
    <n v="8.0000000000000036"/>
    <d v="1899-12-30T00:07:00"/>
    <s v="Big Pharma Bad"/>
    <n v="2.0000000000000009"/>
  </r>
  <r>
    <s v="2023-11-26\Dinner\04:58 PM"/>
    <s v="Dinner"/>
    <x v="3"/>
    <x v="7"/>
    <d v="1899-12-30T16:58:00"/>
    <d v="1899-12-30T17:33:00"/>
    <d v="1899-12-30T17:00:00"/>
    <d v="1899-12-30T17:30:00"/>
    <d v="1899-12-30T16:53:00"/>
    <d v="1899-12-30T17:00:00"/>
    <n v="0"/>
    <n v="2.0000000000000036"/>
    <n v="2.0000000000000036"/>
    <d v="1899-12-30T00:05:00"/>
    <s v="Big Pharma Bad"/>
    <n v="0.50000000000000089"/>
  </r>
  <r>
    <s v="2023-12-04\MSCI 212\09:17 PM"/>
    <s v="MSCI 212"/>
    <x v="2"/>
    <x v="8"/>
    <d v="1899-12-30T21:17:00"/>
    <d v="1899-12-30T21:43:00"/>
    <d v="1899-12-30T21:15:00"/>
    <d v="1899-12-30T21:45:00"/>
    <d v="1899-12-30T21:00:00"/>
    <d v="1899-12-30T21:00:00"/>
    <n v="0.99999999999999645"/>
    <n v="2.0000000000000036"/>
    <n v="3"/>
    <d v="1899-12-30T00:17:00"/>
    <s v="Big Pharma Bad"/>
    <n v="0.50000000000000089"/>
  </r>
  <r>
    <s v="2023-12-20\Happiness\06:32 PM"/>
    <s v="Happiness"/>
    <x v="2"/>
    <x v="9"/>
    <d v="1899-12-30T18:32:00"/>
    <d v="1899-12-30T19:48:00"/>
    <d v="1899-12-30T18:30:00"/>
    <d v="1899-12-30T19:45:00"/>
    <d v="1899-12-30T18:22:00"/>
    <d v="1899-12-30T18:15:00"/>
    <n v="0.99999999999999645"/>
    <n v="5.0000000000000036"/>
    <n v="6"/>
    <d v="1899-12-30T00:10:00"/>
    <s v="Big Pharma Bad"/>
    <n v="1.2500000000000009"/>
  </r>
  <r>
    <s v="2023-12-202023-12-18\Date\11:14 AM"/>
    <s v="Date"/>
    <x v="2"/>
    <x v="9"/>
    <d v="1899-12-30T11:14:00"/>
    <d v="1899-12-30T12:54:00"/>
    <d v="1899-12-30T11:15:00"/>
    <d v="1899-12-30T13:00:00"/>
    <d v="1899-12-30T10:52:00"/>
    <d v="1899-12-30T10:45:00"/>
    <n v="2.0000000000000036"/>
    <n v="6.9999999999999964"/>
    <n v="9"/>
    <d v="1899-12-30T00:22:00"/>
    <s v="Big Pharma Bad"/>
    <n v="1.7499999999999991"/>
  </r>
  <r>
    <s v="2023-12-22\Date\11:02 AM"/>
    <s v="Date"/>
    <x v="2"/>
    <x v="10"/>
    <d v="1899-12-30T11:02:00"/>
    <d v="1899-12-30T12:13:00"/>
    <d v="1899-12-30T11:00:00"/>
    <d v="1899-12-30T12:15:00"/>
    <d v="1899-12-30T10:51:00"/>
    <d v="1899-12-30T10:45:00"/>
    <n v="1.0000000000000018"/>
    <n v="4.9999999999999982"/>
    <n v="6"/>
    <d v="1899-12-30T00:11:00"/>
    <s v="Big Pharma Bad"/>
    <n v="1.2499999999999996"/>
  </r>
  <r>
    <s v="2023-12-24\Happiness\07:57 AM"/>
    <s v="Happiness"/>
    <x v="2"/>
    <x v="6"/>
    <d v="1899-12-30T07:57:00"/>
    <d v="1899-12-30T09:16:00"/>
    <d v="1899-12-30T08:00:00"/>
    <d v="1899-12-30T09:15:00"/>
    <d v="1899-12-30T07:41:00"/>
    <d v="1899-12-30T07:45:00"/>
    <n v="1.0000000000000018"/>
    <n v="4.9999999999999982"/>
    <n v="6"/>
    <d v="1899-12-30T00:16:00"/>
    <s v="Big Pharma Bad"/>
    <n v="1.2499999999999996"/>
  </r>
  <r>
    <s v="2023-12-242023-12-18\Date\11:14 AM"/>
    <s v="Date"/>
    <x v="2"/>
    <x v="6"/>
    <d v="1899-12-30T11:14:00"/>
    <d v="1899-12-30T12:54:00"/>
    <d v="1899-12-30T11:15:00"/>
    <d v="1899-12-30T13:00:00"/>
    <d v="1899-12-30T10:52:00"/>
    <d v="1899-12-30T10:45:00"/>
    <n v="2.0000000000000036"/>
    <n v="6.9999999999999964"/>
    <n v="9"/>
    <d v="1899-12-30T00:22:00"/>
    <s v="Big Pharma Bad"/>
    <n v="1.7499999999999991"/>
  </r>
  <r>
    <s v="2023-12-262023-12-18\Date\11:14 AM"/>
    <s v="Date"/>
    <x v="2"/>
    <x v="7"/>
    <d v="1899-12-30T11:14:00"/>
    <d v="1899-12-30T12:54:00"/>
    <d v="1899-12-30T11:15:00"/>
    <d v="1899-12-30T13:00:00"/>
    <d v="1899-12-30T10:52:00"/>
    <d v="1899-12-30T10:45:00"/>
    <n v="2.0000000000000036"/>
    <n v="6.9999999999999964"/>
    <n v="9"/>
    <d v="1899-12-30T00:22:00"/>
    <s v="Big Pharma Bad"/>
    <n v="1.7499999999999991"/>
  </r>
  <r>
    <s v="2023-12-282023-12-18\Date\11:14 AM"/>
    <s v="Date"/>
    <x v="2"/>
    <x v="11"/>
    <d v="1899-12-30T11:14:00"/>
    <d v="1899-12-30T12:54:00"/>
    <d v="1899-12-30T11:15:00"/>
    <d v="1899-12-30T13:00:00"/>
    <d v="1899-12-30T10:52:00"/>
    <d v="1899-12-30T10:45:00"/>
    <n v="2.0000000000000036"/>
    <n v="6.9999999999999964"/>
    <n v="9"/>
    <d v="1899-12-30T00:22:00"/>
    <s v="Big Pharma Bad"/>
    <n v="1.749999999999999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Commit Tax Fraud"/>
    <d v="2023-12-12T00:00:00"/>
    <x v="0"/>
  </r>
  <r>
    <s v="hi"/>
    <d v="2023-12-06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78DF93-B839-4B4F-B963-65915F5EF56B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6">
  <location ref="A2:C12" firstHeaderRow="1" firstDataRow="2" firstDataCol="1"/>
  <pivotFields count="16">
    <pivotField showAll="0"/>
    <pivotField showAll="0"/>
    <pivotField axis="axisCol" showAll="0">
      <items count="7">
        <item x="2"/>
        <item h="1" x="3"/>
        <item h="1" x="0"/>
        <item h="1" x="5"/>
        <item h="1" x="4"/>
        <item h="1" x="1"/>
        <item t="default"/>
      </items>
    </pivotField>
    <pivotField axis="axisRow" numFmtId="14" showAll="0">
      <items count="18">
        <item x="0"/>
        <item m="1" x="13"/>
        <item x="1"/>
        <item x="3"/>
        <item x="4"/>
        <item x="5"/>
        <item x="2"/>
        <item m="1" x="16"/>
        <item m="1" x="14"/>
        <item m="1" x="15"/>
        <item m="1" x="12"/>
        <item x="6"/>
        <item x="7"/>
        <item x="9"/>
        <item x="10"/>
        <item x="11"/>
        <item x="8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" showAll="0"/>
    <pivotField numFmtId="1" showAll="0"/>
    <pivotField numFmtId="1" showAll="0"/>
    <pivotField numFmtId="166" showAll="0"/>
    <pivotField showAll="0"/>
    <pivotField dataField="1" numFmtId="1" showAll="0"/>
  </pivotFields>
  <rowFields count="1">
    <field x="3"/>
  </rowFields>
  <rowItems count="9">
    <i>
      <x v="2"/>
    </i>
    <i>
      <x v="4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2"/>
  </colFields>
  <colItems count="2">
    <i>
      <x/>
    </i>
    <i t="grand">
      <x/>
    </i>
  </colItems>
  <dataFields count="1">
    <dataField name="Sum of Time Spent" fld="15" baseField="0" baseItem="0"/>
  </dataFields>
  <formats count="1">
    <format dxfId="17">
      <pivotArea dataOnly="0" labelOnly="1" fieldPosition="0">
        <references count="1">
          <reference field="2" count="0"/>
        </references>
      </pivotArea>
    </format>
  </formats>
  <chartFormats count="1"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474F34-54B4-443F-B995-41BD0DD46A1D}" name="ToDoStatus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4">
  <location ref="Y2:Z4" firstHeaderRow="1" firstDataRow="1" firstDataCol="1"/>
  <pivotFields count="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4">
        <item m="1" x="3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">
    <i>
      <x v="1"/>
    </i>
    <i>
      <x v="2"/>
    </i>
  </rowItems>
  <colItems count="1">
    <i/>
  </colItems>
  <dataFields count="1">
    <dataField name="Count of Status" fld="2" subtotal="count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BC55AA-B53B-4850-A490-DC68BA16E28F}" name="PivotTable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1">
  <location ref="H2:J7" firstHeaderRow="1" firstDataRow="2" firstDataCol="1"/>
  <pivotFields count="16">
    <pivotField showAll="0"/>
    <pivotField showAll="0"/>
    <pivotField axis="axisCol" showAll="0">
      <items count="7">
        <item h="1" x="2"/>
        <item h="1" x="3"/>
        <item x="0"/>
        <item h="1" x="5"/>
        <item h="1" x="4"/>
        <item h="1" x="1"/>
        <item t="default"/>
      </items>
    </pivotField>
    <pivotField axis="axisRow" numFmtId="14" showAll="0">
      <items count="18">
        <item x="0"/>
        <item m="1" x="13"/>
        <item x="1"/>
        <item x="3"/>
        <item x="4"/>
        <item x="5"/>
        <item x="2"/>
        <item m="1" x="16"/>
        <item m="1" x="14"/>
        <item m="1" x="15"/>
        <item m="1" x="12"/>
        <item x="6"/>
        <item x="7"/>
        <item x="9"/>
        <item x="10"/>
        <item x="11"/>
        <item x="8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" showAll="0"/>
    <pivotField numFmtId="1" showAll="0"/>
    <pivotField numFmtId="1" showAll="0"/>
    <pivotField numFmtId="166" showAll="0"/>
    <pivotField showAll="0"/>
    <pivotField dataField="1" numFmtId="1" showAll="0"/>
  </pivotFields>
  <rowFields count="1">
    <field x="3"/>
  </rowFields>
  <rowItems count="4">
    <i>
      <x/>
    </i>
    <i>
      <x v="3"/>
    </i>
    <i>
      <x v="6"/>
    </i>
    <i t="grand">
      <x/>
    </i>
  </rowItems>
  <colFields count="1">
    <field x="2"/>
  </colFields>
  <colItems count="2">
    <i>
      <x v="2"/>
    </i>
    <i t="grand">
      <x/>
    </i>
  </colItems>
  <dataFields count="1">
    <dataField name="Sum of Time Spent" fld="15" baseField="0" baseItem="0"/>
  </dataFields>
  <chartFormats count="1"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BC437-4BB1-4F24-B190-E93AB4426F4A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L2:N4" firstHeaderRow="1" firstDataRow="2" firstDataCol="1"/>
  <pivotFields count="3">
    <pivotField showAll="0"/>
    <pivotField numFmtId="167" showAll="0"/>
    <pivotField axis="axisCol" dataField="1" showAll="0">
      <items count="5">
        <item m="1" x="3"/>
        <item m="1" x="2"/>
        <item m="1" x="1"/>
        <item x="0"/>
        <item t="default"/>
      </items>
    </pivotField>
  </pivotFields>
  <rowItems count="1">
    <i/>
  </rowItems>
  <colFields count="1">
    <field x="2"/>
  </colFields>
  <colItems count="2">
    <i>
      <x v="3"/>
    </i>
    <i t="grand">
      <x/>
    </i>
  </colItems>
  <dataFields count="1">
    <dataField name="Count of Status" fld="2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28DA9-8EB7-4E8B-8236-EC79D3D20130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E2:F9" firstHeaderRow="1" firstDataRow="1" firstDataCol="1"/>
  <pivotFields count="18">
    <pivotField showAll="0"/>
    <pivotField showAll="0"/>
    <pivotField axis="axisRow" showAll="0">
      <items count="8">
        <item x="2"/>
        <item x="0"/>
        <item x="4"/>
        <item x="1"/>
        <item x="5"/>
        <item x="3"/>
        <item m="1" x="6"/>
        <item t="default"/>
      </items>
    </pivotField>
    <pivotField showAll="0"/>
    <pivotField showAll="0"/>
    <pivotField showAll="0"/>
    <pivotField numFmtId="165" showAll="0"/>
    <pivotField numFmtId="165" showAll="0"/>
    <pivotField numFmtId="165" showAll="0"/>
    <pivotField showAll="0"/>
    <pivotField showAll="0"/>
    <pivotField numFmtId="1" showAll="0"/>
    <pivotField showAll="0"/>
    <pivotField numFmtId="166" showAll="0">
      <items count="15">
        <item x="8"/>
        <item x="4"/>
        <item x="11"/>
        <item x="3"/>
        <item x="5"/>
        <item x="0"/>
        <item x="6"/>
        <item m="1" x="13"/>
        <item x="7"/>
        <item x="1"/>
        <item x="2"/>
        <item x="9"/>
        <item x="10"/>
        <item x="12"/>
        <item t="default"/>
      </items>
    </pivotField>
    <pivotField showAll="0"/>
    <pivotField dataField="1" numFmtId="1"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ime Spent" fld="15" baseField="0" baseItem="0"/>
  </dataFields>
  <chartFormats count="7">
    <chartFormat chart="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CCEDC5-8963-4F10-B3C5-C101511425AC}" name="DueDatesTable" displayName="DueDatesTable" ref="E2:G3" totalsRowShown="0" headerRowDxfId="29">
  <autoFilter ref="E2:G3" xr:uid="{DCCCEDC5-8963-4F10-B3C5-C101511425AC}"/>
  <tableColumns count="3">
    <tableColumn id="1" xr3:uid="{E32561CC-A849-4DA5-882F-4918AD93F7D3}" name="Upcoming Due Dates" dataDxfId="28"/>
    <tableColumn id="2" xr3:uid="{974FFD5E-FC34-4206-BFBB-CFA805717ADD}" name="Due Date" dataDxfId="27"/>
    <tableColumn id="3" xr3:uid="{C4E583DA-F126-474F-92EB-587A8CF2BF36}" name="Tim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76A15F6-618B-4B37-A0EE-189739493A21}" name="ToDoTable" displayName="ToDoTable" ref="E12:G14" totalsRowShown="0" headerRowDxfId="25" dataDxfId="24">
  <autoFilter ref="E12:G14" xr:uid="{A76A15F6-618B-4B37-A0EE-189739493A21}"/>
  <tableColumns count="3">
    <tableColumn id="1" xr3:uid="{5C14C71A-86CD-4E06-BAD8-8FA9D9E32D17}" name="Task" dataDxfId="23"/>
    <tableColumn id="2" xr3:uid="{ACB5CEFF-A3CA-4080-B85A-EE1D3B1D71E0}" name="Due Date" dataDxfId="22"/>
    <tableColumn id="3" xr3:uid="{F484BB40-5341-4075-82DD-97E793108D22}" name="Status" dataDxfId="2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C8B62DF-F591-4D46-B89B-BF8F33255846}" name="TimeGoals" displayName="TimeGoals" ref="B4:E10" totalsRowShown="0">
  <autoFilter ref="B4:E10" xr:uid="{5C8B62DF-F591-4D46-B89B-BF8F33255846}"/>
  <tableColumns count="4">
    <tableColumn id="1" xr3:uid="{38C51D36-4E87-493F-AB36-7EDD387EF743}" name="Category" dataDxfId="20">
      <calculatedColumnFormula>PivotTables!E3</calculatedColumnFormula>
    </tableColumn>
    <tableColumn id="2" xr3:uid="{5F15F775-91DE-4CAD-BD87-64C2DC139CB4}" name="Goals"/>
    <tableColumn id="4" xr3:uid="{98155F57-FD59-4DEE-A6D1-BEDEFA33EE75}" name="Past Overall Average" dataDxfId="19">
      <calculatedColumnFormula>PivotTables!V3</calculatedColumnFormula>
    </tableColumn>
    <tableColumn id="3" xr3:uid="{BC5F749A-5B5D-4566-9A1A-7DA15E1FB691}" name="Percent Complete" dataDxfId="18">
      <calculatedColumnFormula>TimeGoals[[#This Row],[Past Overall Average]]/TimeGoals[[#This Row],[Goals]]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E19AC-A61C-4E71-8528-A52FE113E6FA}" name="Table6" displayName="Table6" ref="R2:W8" totalsRowShown="0">
  <autoFilter ref="R2:W8" xr:uid="{C9CE19AC-A61C-4E71-8528-A52FE113E6FA}"/>
  <tableColumns count="6">
    <tableColumn id="5" xr3:uid="{8F246CB9-393A-4E0C-AE53-0EC9BDB458E3}" name="Category" dataDxfId="16">
      <calculatedColumnFormula>E3</calculatedColumnFormula>
    </tableColumn>
    <tableColumn id="1" xr3:uid="{6C407AFC-5695-44E0-97F9-A2A021077EFF}" name="First Date">
      <calculatedColumnFormula>MIN(MasterTable[Date])</calculatedColumnFormula>
    </tableColumn>
    <tableColumn id="2" xr3:uid="{700E15CC-7D76-4CA4-B438-7AC22316A41F}" name="FinalDate">
      <calculatedColumnFormula>MAX(MasterTable[Date])</calculatedColumnFormula>
    </tableColumn>
    <tableColumn id="3" xr3:uid="{9E0F9BD5-3671-4BB1-83AE-81A80BE163DA}" name="Number of Weeks">
      <calculatedColumnFormula>ROUND((T3-S3)/7,0)</calculatedColumnFormula>
    </tableColumn>
    <tableColumn id="4" xr3:uid="{5320134D-B117-4D47-ACA9-F0F542427092}" name="Current Time" dataDxfId="15">
      <calculatedColumnFormula>GETPIVOTDATA("Time Spent",$E$2,"Type",Table6[[#This Row],[Category]])/Table6[[#This Row],[Number of Weeks]]</calculatedColumnFormula>
    </tableColumn>
    <tableColumn id="6" xr3:uid="{190988DC-1AC5-4B06-995F-1EE0D2A6AFF1}" name="Goals" dataDxfId="14">
      <calculatedColumnFormula>Goals!C5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E742E2-3A45-4370-9869-411AB7CFDBEB}" name="MasterTable" displayName="MasterTable" ref="A1:P105" totalsRowShown="0">
  <autoFilter ref="A1:P105" xr:uid="{87E742E2-3A45-4370-9869-411AB7CFDBEB}"/>
  <sortState xmlns:xlrd2="http://schemas.microsoft.com/office/spreadsheetml/2017/richdata2" ref="A2:P23">
    <sortCondition ref="A1:A23"/>
  </sortState>
  <tableColumns count="16">
    <tableColumn id="14" xr3:uid="{8F774308-7E73-4161-8BDE-1B550CABFA03}" name="ID" dataDxfId="13"/>
    <tableColumn id="1" xr3:uid="{DEB8C33A-6D42-44D7-A477-F0262B884A19}" name="Name"/>
    <tableColumn id="10" xr3:uid="{DFC5C578-31C6-4D8A-9C2A-23E4D4F7B420}" name="Type"/>
    <tableColumn id="2" xr3:uid="{0F3EAC58-D179-47D9-BE50-46144416030C}" name="Date" dataDxfId="12"/>
    <tableColumn id="4" xr3:uid="{4E6D0E6A-06F3-46C5-8C81-98380920F573}" name="Start Time" dataDxfId="11"/>
    <tableColumn id="5" xr3:uid="{9B98BEA7-4027-49A6-B961-64517BEDE16C}" name="End Time" dataDxfId="10"/>
    <tableColumn id="18" xr3:uid="{5EFACB9A-65F7-4F1A-9225-96BC75E5AA1E}" name="Start Time Adj" dataDxfId="9">
      <calculatedColumnFormula>MROUND(MasterTable[[#This Row],[Start Time]],"0:15")</calculatedColumnFormula>
    </tableColumn>
    <tableColumn id="17" xr3:uid="{A4942056-7A74-4F2B-A9C9-F8665664E7C6}" name="End Time Adj" dataDxfId="8">
      <calculatedColumnFormula>MROUND(MasterTable[[#This Row],[End Time]], "0:15")</calculatedColumnFormula>
    </tableColumn>
    <tableColumn id="7" xr3:uid="{B6D30203-AAFC-4F25-90AB-E6600765B01B}" name="Travel ST" dataDxfId="7">
      <calculatedColumnFormula>MasterTable[[#This Row],[Start Time]]-MasterTable[[#This Row],[Travel Time]]</calculatedColumnFormula>
    </tableColumn>
    <tableColumn id="11" xr3:uid="{AAD56ED7-5905-4765-9424-5DFF7107C5A7}" name="Rd Travel ST" dataDxfId="6">
      <calculatedColumnFormula>MROUND(MasterTable[[#This Row],[Travel ST]], "0:15")</calculatedColumnFormula>
    </tableColumn>
    <tableColumn id="15" xr3:uid="{857566BC-5446-4CBF-A1A4-01036F6E2BAA}" name="Daily E HL" dataDxfId="5">
      <calculatedColumnFormula>(MasterTable[[#This Row],[Start Time Adj]]-MasterTable[[#This Row],[Rd Travel ST]])*96</calculatedColumnFormula>
    </tableColumn>
    <tableColumn id="6" xr3:uid="{D2EED75B-DAFD-458C-B4A3-90B7A0BC54DB}" name="Daily E HL2" dataDxfId="4">
      <calculatedColumnFormula>(MasterTable[[#This Row],[End Time Adj]]-MasterTable[[#This Row],[Start Time Adj]])*96</calculatedColumnFormula>
    </tableColumn>
    <tableColumn id="13" xr3:uid="{4A8C978B-A3F2-4BD8-A4F2-C4A13A5C0D37}" name="Wky HL" dataDxfId="3">
      <calculatedColumnFormula>(MasterTable[[#This Row],[End Time Adj]]-MasterTable[[#This Row],[Rd Travel ST]])*96</calculatedColumnFormula>
    </tableColumn>
    <tableColumn id="12" xr3:uid="{A99D4B13-654C-46A3-A605-2D0082EDE07C}" name="Travel Time" dataDxfId="2">
      <calculatedColumnFormula>20/1440</calculatedColumnFormula>
    </tableColumn>
    <tableColumn id="8" xr3:uid="{6A90A4CF-D14D-4909-B64D-4070A29714DD}" name="Note" dataDxfId="1">
      <calculatedColumnFormula>20/1440</calculatedColumnFormula>
    </tableColumn>
    <tableColumn id="3" xr3:uid="{C5418855-206B-4718-8B39-ED76867BEA91}" name="Time Spent" dataDxfId="0">
      <calculatedColumnFormula>MasterTable[[#This Row],[Daily E HL2]]/4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74E8B5-134F-41D2-845E-4CF28FEFA4F2}" name="DeadlinesTable" displayName="DeadlinesTable" ref="R1:T8" totalsRowShown="0">
  <autoFilter ref="R1:T8" xr:uid="{0E74E8B5-134F-41D2-845E-4CF28FEFA4F2}"/>
  <tableColumns count="3">
    <tableColumn id="1" xr3:uid="{D0A395E7-4FC0-4007-BF14-B801B6285CE2}" name="Name"/>
    <tableColumn id="2" xr3:uid="{F36A160C-3694-4EF6-A816-B0469C71B517}" name="Date"/>
    <tableColumn id="3" xr3:uid="{3F421E56-DFB5-4327-8E8E-76D2D090D8EF}" name="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A5B3-427E-44D4-8642-6ED5E5A5DA3D}">
  <sheetPr codeName="Sheet1"/>
  <dimension ref="A1"/>
  <sheetViews>
    <sheetView zoomScale="85" zoomScaleNormal="145" workbookViewId="0">
      <selection activeCell="D36" sqref="D36"/>
    </sheetView>
  </sheetViews>
  <sheetFormatPr defaultColWidth="8.796875" defaultRowHeight="14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tartButton">
                <anchor moveWithCells="1" sizeWithCells="1">
                  <from>
                    <xdr:col>17</xdr:col>
                    <xdr:colOff>471488</xdr:colOff>
                    <xdr:row>12</xdr:row>
                    <xdr:rowOff>85725</xdr:rowOff>
                  </from>
                  <to>
                    <xdr:col>20</xdr:col>
                    <xdr:colOff>28575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ProgramTutorial">
                <anchor moveWithCells="1" sizeWithCells="1">
                  <from>
                    <xdr:col>17</xdr:col>
                    <xdr:colOff>471488</xdr:colOff>
                    <xdr:row>9</xdr:row>
                    <xdr:rowOff>85725</xdr:rowOff>
                  </from>
                  <to>
                    <xdr:col>20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aSTForm">
                <anchor moveWithCells="1" sizeWithCells="1">
                  <from>
                    <xdr:col>17</xdr:col>
                    <xdr:colOff>481013</xdr:colOff>
                    <xdr:row>15</xdr:row>
                    <xdr:rowOff>14288</xdr:rowOff>
                  </from>
                  <to>
                    <xdr:col>20</xdr:col>
                    <xdr:colOff>14288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ManualBackup.ManualBackup">
                <anchor moveWithCells="1" sizeWithCells="1">
                  <from>
                    <xdr:col>17</xdr:col>
                    <xdr:colOff>485775</xdr:colOff>
                    <xdr:row>17</xdr:row>
                    <xdr:rowOff>180975</xdr:rowOff>
                  </from>
                  <to>
                    <xdr:col>20</xdr:col>
                    <xdr:colOff>38100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D759-596C-4062-8EAB-8E9211CFB55C}">
  <sheetPr codeName="Sheet2"/>
  <dimension ref="B1:K78"/>
  <sheetViews>
    <sheetView topLeftCell="B1" zoomScale="74" zoomScaleNormal="100" workbookViewId="0">
      <selection activeCell="L25" sqref="L25"/>
    </sheetView>
  </sheetViews>
  <sheetFormatPr defaultColWidth="20.6640625" defaultRowHeight="6" customHeight="1"/>
  <cols>
    <col min="1" max="1" width="2.33203125" style="2" customWidth="1"/>
    <col min="2" max="2" width="10.796875" style="2" customWidth="1"/>
    <col min="3" max="9" width="20.6640625" style="2"/>
    <col min="10" max="10" width="12.1328125" style="2" customWidth="1"/>
    <col min="11" max="11" width="22.33203125" style="2" customWidth="1"/>
    <col min="12" max="16384" width="20.6640625" style="2"/>
  </cols>
  <sheetData>
    <row r="1" spans="2:11" customFormat="1" ht="14" customHeight="1" thickBot="1">
      <c r="K1" s="15" t="s">
        <v>0</v>
      </c>
    </row>
    <row r="2" spans="2:11" ht="20" customHeight="1">
      <c r="B2" s="3"/>
      <c r="C2" s="6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5" t="s">
        <v>7</v>
      </c>
      <c r="K2" s="29">
        <v>45277</v>
      </c>
    </row>
    <row r="3" spans="2:11" ht="6" customHeight="1">
      <c r="B3" s="55">
        <v>0.25</v>
      </c>
      <c r="C3" s="50"/>
      <c r="D3" s="51"/>
      <c r="E3" s="51"/>
      <c r="F3" s="51"/>
      <c r="G3" s="51"/>
      <c r="H3" s="51"/>
      <c r="I3" s="52"/>
    </row>
    <row r="4" spans="2:11" ht="6" customHeight="1">
      <c r="B4" s="55"/>
      <c r="C4" s="53"/>
      <c r="D4" s="46"/>
      <c r="E4" s="46"/>
      <c r="F4" s="46"/>
      <c r="G4" s="46"/>
      <c r="H4" s="46"/>
      <c r="I4" s="47"/>
    </row>
    <row r="5" spans="2:11" ht="6" customHeight="1">
      <c r="B5" s="55"/>
      <c r="C5" s="53"/>
      <c r="D5" s="46"/>
      <c r="E5" s="46"/>
      <c r="F5" s="46"/>
      <c r="G5" s="46"/>
      <c r="H5" s="46"/>
      <c r="I5" s="47"/>
    </row>
    <row r="6" spans="2:11" ht="6" customHeight="1">
      <c r="B6" s="55"/>
      <c r="C6" s="53"/>
      <c r="D6" s="46"/>
      <c r="E6" s="46"/>
      <c r="F6" s="46"/>
      <c r="G6" s="46"/>
      <c r="H6" s="46"/>
      <c r="I6" s="47"/>
    </row>
    <row r="7" spans="2:11" ht="6" customHeight="1">
      <c r="B7" s="55">
        <v>0.29166666666666702</v>
      </c>
      <c r="C7" s="53"/>
      <c r="D7" s="46"/>
      <c r="E7" s="46"/>
      <c r="F7" s="46"/>
      <c r="G7" s="46"/>
      <c r="H7" s="46"/>
      <c r="I7" s="47"/>
    </row>
    <row r="8" spans="2:11" ht="6" customHeight="1">
      <c r="B8" s="55"/>
      <c r="C8" s="53"/>
      <c r="D8" s="46"/>
      <c r="E8" s="46"/>
      <c r="F8" s="46"/>
      <c r="G8" s="46"/>
      <c r="H8" s="46"/>
      <c r="I8" s="47"/>
    </row>
    <row r="9" spans="2:11" ht="6" customHeight="1">
      <c r="B9" s="55"/>
      <c r="C9" s="53"/>
      <c r="D9" s="46"/>
      <c r="E9" s="46"/>
      <c r="F9" s="46"/>
      <c r="G9" s="46"/>
      <c r="H9" s="46"/>
      <c r="I9" s="47"/>
    </row>
    <row r="10" spans="2:11" ht="6" customHeight="1">
      <c r="B10" s="55"/>
      <c r="C10" s="53"/>
      <c r="D10" s="46"/>
      <c r="E10" s="46"/>
      <c r="F10" s="46"/>
      <c r="G10" s="46"/>
      <c r="H10" s="46"/>
      <c r="I10" s="47"/>
    </row>
    <row r="11" spans="2:11" ht="6" customHeight="1">
      <c r="B11" s="55">
        <v>0.33333333333333398</v>
      </c>
      <c r="C11" s="53"/>
      <c r="D11" s="46"/>
      <c r="E11" s="46"/>
      <c r="F11" s="46"/>
      <c r="G11" s="46"/>
      <c r="H11" s="46"/>
      <c r="I11" s="47"/>
    </row>
    <row r="12" spans="2:11" ht="6" customHeight="1">
      <c r="B12" s="55"/>
      <c r="C12" s="53"/>
      <c r="D12" s="46"/>
      <c r="E12" s="46"/>
      <c r="F12" s="46"/>
      <c r="G12" s="46"/>
      <c r="H12" s="46"/>
      <c r="I12" s="47"/>
    </row>
    <row r="13" spans="2:11" ht="6" customHeight="1">
      <c r="B13" s="55"/>
      <c r="C13" s="53"/>
      <c r="D13" s="46"/>
      <c r="E13" s="46"/>
      <c r="F13" s="46"/>
      <c r="G13" s="46"/>
      <c r="H13" s="46"/>
      <c r="I13" s="47"/>
    </row>
    <row r="14" spans="2:11" ht="6" customHeight="1">
      <c r="B14" s="55"/>
      <c r="C14" s="53"/>
      <c r="D14" s="46"/>
      <c r="E14" s="46"/>
      <c r="F14" s="46"/>
      <c r="G14" s="46"/>
      <c r="H14" s="46"/>
      <c r="I14" s="47"/>
    </row>
    <row r="15" spans="2:11" s="22" customFormat="1" ht="6" customHeight="1">
      <c r="B15" s="55">
        <v>0.375000000000001</v>
      </c>
      <c r="C15" s="53"/>
      <c r="D15" s="46"/>
      <c r="E15" s="46"/>
      <c r="F15" s="46"/>
      <c r="G15" s="46"/>
      <c r="H15" s="46"/>
      <c r="I15" s="47"/>
    </row>
    <row r="16" spans="2:11" s="22" customFormat="1" ht="6" customHeight="1">
      <c r="B16" s="55"/>
      <c r="C16" s="53"/>
      <c r="D16" s="46"/>
      <c r="E16" s="46"/>
      <c r="F16" s="46"/>
      <c r="G16" s="46"/>
      <c r="H16" s="46"/>
      <c r="I16" s="47"/>
    </row>
    <row r="17" spans="2:9" s="22" customFormat="1" ht="6" customHeight="1">
      <c r="B17" s="55"/>
      <c r="C17" s="53"/>
      <c r="D17" s="46"/>
      <c r="E17" s="46"/>
      <c r="F17" s="46"/>
      <c r="G17" s="46"/>
      <c r="H17" s="46"/>
      <c r="I17" s="47"/>
    </row>
    <row r="18" spans="2:9" s="22" customFormat="1" ht="6" customHeight="1">
      <c r="B18" s="55"/>
      <c r="C18" s="53"/>
      <c r="D18" s="46"/>
      <c r="E18" s="46"/>
      <c r="F18" s="46"/>
      <c r="G18" s="46"/>
      <c r="H18" s="46"/>
      <c r="I18" s="47"/>
    </row>
    <row r="19" spans="2:9" s="22" customFormat="1" ht="6" customHeight="1">
      <c r="B19" s="55">
        <v>0.41666666666666702</v>
      </c>
      <c r="C19" s="53"/>
      <c r="D19" s="46"/>
      <c r="E19" s="46"/>
      <c r="F19" s="46"/>
      <c r="G19" s="46"/>
      <c r="H19" s="46"/>
      <c r="I19" s="47"/>
    </row>
    <row r="20" spans="2:9" s="22" customFormat="1" ht="6" customHeight="1">
      <c r="B20" s="55"/>
      <c r="C20" s="53"/>
      <c r="D20" s="46"/>
      <c r="E20" s="46"/>
      <c r="F20" s="46"/>
      <c r="G20" s="46"/>
      <c r="H20" s="46"/>
      <c r="I20" s="47"/>
    </row>
    <row r="21" spans="2:9" s="22" customFormat="1" ht="6" customHeight="1">
      <c r="B21" s="55"/>
      <c r="C21" s="53"/>
      <c r="D21" s="46"/>
      <c r="E21" s="46"/>
      <c r="F21" s="46"/>
      <c r="G21" s="46"/>
      <c r="H21" s="46"/>
      <c r="I21" s="47"/>
    </row>
    <row r="22" spans="2:9" s="22" customFormat="1" ht="6" customHeight="1">
      <c r="B22" s="55"/>
      <c r="C22" s="53"/>
      <c r="D22" s="46"/>
      <c r="E22" s="46"/>
      <c r="F22" s="56" t="s">
        <v>211</v>
      </c>
      <c r="G22" s="46"/>
      <c r="H22" s="56" t="s">
        <v>212</v>
      </c>
      <c r="I22" s="47"/>
    </row>
    <row r="23" spans="2:9" s="22" customFormat="1" ht="6" customHeight="1">
      <c r="B23" s="55">
        <v>0.45833333333333398</v>
      </c>
      <c r="C23" s="53"/>
      <c r="D23" s="46"/>
      <c r="E23" s="46"/>
      <c r="F23" s="57"/>
      <c r="G23" s="46"/>
      <c r="H23" s="57"/>
      <c r="I23" s="47"/>
    </row>
    <row r="24" spans="2:9" s="22" customFormat="1" ht="6" customHeight="1">
      <c r="B24" s="55"/>
      <c r="C24" s="53"/>
      <c r="D24" s="46"/>
      <c r="E24" s="46"/>
      <c r="F24" s="57"/>
      <c r="G24" s="46"/>
      <c r="H24" s="57"/>
      <c r="I24" s="47"/>
    </row>
    <row r="25" spans="2:9" s="22" customFormat="1" ht="6" customHeight="1">
      <c r="B25" s="55"/>
      <c r="C25" s="53"/>
      <c r="D25" s="46"/>
      <c r="E25" s="46"/>
      <c r="F25" s="57"/>
      <c r="G25" s="46"/>
      <c r="H25" s="57"/>
      <c r="I25" s="47"/>
    </row>
    <row r="26" spans="2:9" s="22" customFormat="1" ht="6" customHeight="1">
      <c r="B26" s="55"/>
      <c r="C26" s="53"/>
      <c r="D26" s="46"/>
      <c r="E26" s="46"/>
      <c r="F26" s="57"/>
      <c r="G26" s="46"/>
      <c r="H26" s="57"/>
      <c r="I26" s="47"/>
    </row>
    <row r="27" spans="2:9" ht="6" customHeight="1">
      <c r="B27" s="55">
        <v>0.5</v>
      </c>
      <c r="C27" s="53"/>
      <c r="D27" s="46"/>
      <c r="E27" s="46"/>
      <c r="F27" s="57"/>
      <c r="G27" s="46"/>
      <c r="H27" s="57"/>
      <c r="I27" s="47"/>
    </row>
    <row r="28" spans="2:9" ht="6" customHeight="1">
      <c r="B28" s="55"/>
      <c r="C28" s="53"/>
      <c r="D28" s="46"/>
      <c r="E28" s="46"/>
      <c r="F28" s="57"/>
      <c r="G28" s="46"/>
      <c r="H28" s="46"/>
      <c r="I28" s="47"/>
    </row>
    <row r="29" spans="2:9" ht="6" customHeight="1">
      <c r="B29" s="55"/>
      <c r="C29" s="53"/>
      <c r="D29" s="46"/>
      <c r="E29" s="46"/>
      <c r="F29" s="57"/>
      <c r="G29" s="46"/>
      <c r="H29" s="46"/>
      <c r="I29" s="47"/>
    </row>
    <row r="30" spans="2:9" ht="6" customHeight="1">
      <c r="B30" s="55"/>
      <c r="C30" s="53"/>
      <c r="D30" s="46"/>
      <c r="E30" s="46"/>
      <c r="F30" s="57"/>
      <c r="G30" s="46"/>
      <c r="H30" s="46"/>
      <c r="I30" s="47"/>
    </row>
    <row r="31" spans="2:9" ht="6" customHeight="1">
      <c r="B31" s="55">
        <v>0.54166666666666696</v>
      </c>
      <c r="C31" s="53"/>
      <c r="D31" s="46"/>
      <c r="E31" s="46"/>
      <c r="F31" s="46"/>
      <c r="G31" s="46"/>
      <c r="H31" s="46"/>
      <c r="I31" s="47"/>
    </row>
    <row r="32" spans="2:9" ht="6" customHeight="1">
      <c r="B32" s="55"/>
      <c r="C32" s="53"/>
      <c r="D32" s="46"/>
      <c r="E32" s="46"/>
      <c r="F32" s="46"/>
      <c r="G32" s="46"/>
      <c r="H32" s="46"/>
      <c r="I32" s="47"/>
    </row>
    <row r="33" spans="2:9" ht="6" customHeight="1">
      <c r="B33" s="55"/>
      <c r="C33" s="53"/>
      <c r="D33" s="46"/>
      <c r="E33" s="46"/>
      <c r="F33" s="46"/>
      <c r="G33" s="46"/>
      <c r="H33" s="46"/>
      <c r="I33" s="47"/>
    </row>
    <row r="34" spans="2:9" ht="6" customHeight="1">
      <c r="B34" s="55"/>
      <c r="C34" s="53"/>
      <c r="D34" s="46"/>
      <c r="E34" s="46"/>
      <c r="F34" s="46"/>
      <c r="G34" s="46"/>
      <c r="H34" s="46"/>
      <c r="I34" s="47"/>
    </row>
    <row r="35" spans="2:9" ht="6" customHeight="1">
      <c r="B35" s="55">
        <v>0.58333333333333404</v>
      </c>
      <c r="C35" s="53"/>
      <c r="D35" s="46"/>
      <c r="E35" s="46"/>
      <c r="F35" s="46"/>
      <c r="G35" s="46"/>
      <c r="H35" s="46"/>
      <c r="I35" s="47"/>
    </row>
    <row r="36" spans="2:9" ht="6" customHeight="1">
      <c r="B36" s="55"/>
      <c r="C36" s="53"/>
      <c r="D36" s="46"/>
      <c r="E36" s="46"/>
      <c r="F36" s="46"/>
      <c r="G36" s="46"/>
      <c r="H36" s="46"/>
      <c r="I36" s="47"/>
    </row>
    <row r="37" spans="2:9" ht="6" customHeight="1">
      <c r="B37" s="55"/>
      <c r="C37" s="53"/>
      <c r="D37" s="46"/>
      <c r="E37" s="46"/>
      <c r="F37" s="46"/>
      <c r="G37" s="46"/>
      <c r="H37" s="46"/>
      <c r="I37" s="47"/>
    </row>
    <row r="38" spans="2:9" ht="6" customHeight="1">
      <c r="B38" s="55"/>
      <c r="C38" s="53"/>
      <c r="D38" s="46"/>
      <c r="E38" s="46"/>
      <c r="F38" s="46"/>
      <c r="G38" s="46"/>
      <c r="H38" s="46"/>
      <c r="I38" s="47"/>
    </row>
    <row r="39" spans="2:9" ht="6" customHeight="1">
      <c r="B39" s="55">
        <v>0.625</v>
      </c>
      <c r="C39" s="53"/>
      <c r="D39" s="46"/>
      <c r="E39" s="46"/>
      <c r="F39" s="46"/>
      <c r="G39" s="46"/>
      <c r="H39" s="46"/>
      <c r="I39" s="47"/>
    </row>
    <row r="40" spans="2:9" ht="6" customHeight="1">
      <c r="B40" s="55"/>
      <c r="C40" s="53"/>
      <c r="D40" s="46"/>
      <c r="E40" s="46"/>
      <c r="F40" s="46"/>
      <c r="G40" s="46"/>
      <c r="H40" s="46"/>
      <c r="I40" s="47"/>
    </row>
    <row r="41" spans="2:9" ht="6" customHeight="1">
      <c r="B41" s="55"/>
      <c r="C41" s="53"/>
      <c r="D41" s="46"/>
      <c r="E41" s="46"/>
      <c r="F41" s="46"/>
      <c r="G41" s="46"/>
      <c r="H41" s="46"/>
      <c r="I41" s="47"/>
    </row>
    <row r="42" spans="2:9" ht="6" customHeight="1">
      <c r="B42" s="55"/>
      <c r="C42" s="53"/>
      <c r="D42" s="46"/>
      <c r="E42" s="46"/>
      <c r="F42" s="46"/>
      <c r="G42" s="46"/>
      <c r="H42" s="46"/>
      <c r="I42" s="47"/>
    </row>
    <row r="43" spans="2:9" ht="6" customHeight="1">
      <c r="B43" s="55">
        <v>0.66666666666666696</v>
      </c>
      <c r="C43" s="53"/>
      <c r="D43" s="46"/>
      <c r="E43" s="46"/>
      <c r="F43" s="46"/>
      <c r="G43" s="46"/>
      <c r="H43" s="46"/>
      <c r="I43" s="47"/>
    </row>
    <row r="44" spans="2:9" ht="6" customHeight="1">
      <c r="B44" s="55"/>
      <c r="C44" s="53"/>
      <c r="D44" s="46"/>
      <c r="E44" s="46"/>
      <c r="F44" s="46"/>
      <c r="G44" s="46"/>
      <c r="H44" s="46"/>
      <c r="I44" s="47"/>
    </row>
    <row r="45" spans="2:9" ht="6" customHeight="1">
      <c r="B45" s="55"/>
      <c r="C45" s="53"/>
      <c r="D45" s="46"/>
      <c r="E45" s="46"/>
      <c r="F45" s="46"/>
      <c r="G45" s="46"/>
      <c r="H45" s="46"/>
      <c r="I45" s="47"/>
    </row>
    <row r="46" spans="2:9" ht="6" customHeight="1">
      <c r="B46" s="55"/>
      <c r="C46" s="53"/>
      <c r="D46" s="46"/>
      <c r="E46" s="46"/>
      <c r="F46" s="46"/>
      <c r="G46" s="46"/>
      <c r="H46" s="46"/>
      <c r="I46" s="47"/>
    </row>
    <row r="47" spans="2:9" ht="6" customHeight="1">
      <c r="B47" s="55">
        <v>0.70833333333333404</v>
      </c>
      <c r="C47" s="53"/>
      <c r="D47" s="46"/>
      <c r="E47" s="46"/>
      <c r="F47" s="46"/>
      <c r="G47" s="46"/>
      <c r="H47" s="46"/>
      <c r="I47" s="47"/>
    </row>
    <row r="48" spans="2:9" ht="6" customHeight="1">
      <c r="B48" s="55"/>
      <c r="C48" s="53"/>
      <c r="D48" s="46"/>
      <c r="E48" s="46"/>
      <c r="F48" s="46"/>
      <c r="G48" s="46"/>
      <c r="H48" s="46"/>
      <c r="I48" s="47"/>
    </row>
    <row r="49" spans="2:9" ht="6" customHeight="1">
      <c r="B49" s="55"/>
      <c r="C49" s="53"/>
      <c r="D49" s="46"/>
      <c r="E49" s="46"/>
      <c r="F49" s="46"/>
      <c r="G49" s="46"/>
      <c r="H49" s="46"/>
      <c r="I49" s="47"/>
    </row>
    <row r="50" spans="2:9" ht="6" customHeight="1">
      <c r="B50" s="55"/>
      <c r="C50" s="53"/>
      <c r="D50" s="46"/>
      <c r="E50" s="46"/>
      <c r="F50" s="46"/>
      <c r="G50" s="46"/>
      <c r="H50" s="46"/>
      <c r="I50" s="47"/>
    </row>
    <row r="51" spans="2:9" ht="6" customHeight="1">
      <c r="B51" s="55">
        <v>0.75</v>
      </c>
      <c r="C51" s="53"/>
      <c r="D51" s="46"/>
      <c r="E51" s="46"/>
      <c r="F51" s="46"/>
      <c r="G51" s="46"/>
      <c r="H51" s="46"/>
      <c r="I51" s="47"/>
    </row>
    <row r="52" spans="2:9" ht="6" customHeight="1">
      <c r="B52" s="55"/>
      <c r="C52" s="53"/>
      <c r="D52" s="46"/>
      <c r="E52" s="46"/>
      <c r="F52" s="56" t="s">
        <v>210</v>
      </c>
      <c r="G52" s="46"/>
      <c r="H52" s="46"/>
      <c r="I52" s="47"/>
    </row>
    <row r="53" spans="2:9" ht="6" customHeight="1">
      <c r="B53" s="55"/>
      <c r="C53" s="53"/>
      <c r="D53" s="46"/>
      <c r="E53" s="46"/>
      <c r="F53" s="57"/>
      <c r="G53" s="46"/>
      <c r="H53" s="46"/>
      <c r="I53" s="47"/>
    </row>
    <row r="54" spans="2:9" ht="6" customHeight="1">
      <c r="B54" s="55"/>
      <c r="C54" s="53"/>
      <c r="D54" s="46"/>
      <c r="E54" s="46"/>
      <c r="F54" s="57"/>
      <c r="G54" s="46"/>
      <c r="H54" s="46"/>
      <c r="I54" s="47"/>
    </row>
    <row r="55" spans="2:9" ht="6" customHeight="1">
      <c r="B55" s="55">
        <v>0.79166666666666696</v>
      </c>
      <c r="C55" s="53"/>
      <c r="D55" s="46"/>
      <c r="E55" s="46"/>
      <c r="F55" s="57"/>
      <c r="G55" s="46"/>
      <c r="H55" s="46"/>
      <c r="I55" s="47"/>
    </row>
    <row r="56" spans="2:9" ht="6" customHeight="1">
      <c r="B56" s="55"/>
      <c r="C56" s="53"/>
      <c r="D56" s="46"/>
      <c r="E56" s="46"/>
      <c r="F56" s="57"/>
      <c r="G56" s="46"/>
      <c r="H56" s="46"/>
      <c r="I56" s="47"/>
    </row>
    <row r="57" spans="2:9" ht="6" customHeight="1">
      <c r="B57" s="55"/>
      <c r="C57" s="53"/>
      <c r="D57" s="46"/>
      <c r="E57" s="46"/>
      <c r="F57" s="57"/>
      <c r="G57" s="46"/>
      <c r="H57" s="46"/>
      <c r="I57" s="47"/>
    </row>
    <row r="58" spans="2:9" ht="6" customHeight="1">
      <c r="B58" s="55"/>
      <c r="C58" s="53"/>
      <c r="D58" s="46"/>
      <c r="E58" s="46"/>
      <c r="F58" s="46"/>
      <c r="G58" s="46"/>
      <c r="H58" s="46"/>
      <c r="I58" s="47"/>
    </row>
    <row r="59" spans="2:9" ht="6" customHeight="1">
      <c r="B59" s="55">
        <v>0.83333333333333404</v>
      </c>
      <c r="C59" s="53"/>
      <c r="D59" s="46"/>
      <c r="E59" s="46"/>
      <c r="F59" s="46"/>
      <c r="G59" s="46"/>
      <c r="H59" s="46"/>
      <c r="I59" s="47"/>
    </row>
    <row r="60" spans="2:9" ht="6" customHeight="1">
      <c r="B60" s="55"/>
      <c r="C60" s="53"/>
      <c r="D60" s="46"/>
      <c r="E60" s="46"/>
      <c r="F60" s="46"/>
      <c r="G60" s="46"/>
      <c r="H60" s="46"/>
      <c r="I60" s="47"/>
    </row>
    <row r="61" spans="2:9" ht="6" customHeight="1">
      <c r="B61" s="55"/>
      <c r="C61" s="53"/>
      <c r="D61" s="46"/>
      <c r="E61" s="46"/>
      <c r="F61" s="46"/>
      <c r="G61" s="46"/>
      <c r="H61" s="46"/>
      <c r="I61" s="47"/>
    </row>
    <row r="62" spans="2:9" ht="6" customHeight="1">
      <c r="B62" s="55"/>
      <c r="C62" s="53"/>
      <c r="D62" s="46"/>
      <c r="E62" s="46"/>
      <c r="F62" s="46"/>
      <c r="G62" s="46"/>
      <c r="H62" s="46"/>
      <c r="I62" s="47"/>
    </row>
    <row r="63" spans="2:9" ht="6" customHeight="1">
      <c r="B63" s="55">
        <v>0.875</v>
      </c>
      <c r="C63" s="53"/>
      <c r="D63" s="46"/>
      <c r="E63" s="46"/>
      <c r="F63" s="46"/>
      <c r="G63" s="46"/>
      <c r="H63" s="46"/>
      <c r="I63" s="47"/>
    </row>
    <row r="64" spans="2:9" ht="6" customHeight="1">
      <c r="B64" s="55"/>
      <c r="C64" s="53"/>
      <c r="D64" s="46"/>
      <c r="E64" s="46"/>
      <c r="F64" s="46"/>
      <c r="G64" s="46"/>
      <c r="H64" s="46"/>
      <c r="I64" s="47"/>
    </row>
    <row r="65" spans="2:9" ht="6" customHeight="1">
      <c r="B65" s="55"/>
      <c r="C65" s="53"/>
      <c r="D65" s="46"/>
      <c r="E65" s="46"/>
      <c r="F65" s="46"/>
      <c r="G65" s="46"/>
      <c r="H65" s="46"/>
      <c r="I65" s="47"/>
    </row>
    <row r="66" spans="2:9" ht="6" customHeight="1">
      <c r="B66" s="55"/>
      <c r="C66" s="53"/>
      <c r="D66" s="46"/>
      <c r="E66" s="46"/>
      <c r="F66" s="46"/>
      <c r="G66" s="46"/>
      <c r="H66" s="46"/>
      <c r="I66" s="47"/>
    </row>
    <row r="67" spans="2:9" ht="6" customHeight="1">
      <c r="B67" s="55">
        <v>0.91666666666666696</v>
      </c>
      <c r="C67" s="53"/>
      <c r="D67" s="46"/>
      <c r="E67" s="46"/>
      <c r="F67" s="46"/>
      <c r="G67" s="46"/>
      <c r="H67" s="46"/>
      <c r="I67" s="47"/>
    </row>
    <row r="68" spans="2:9" ht="6" customHeight="1">
      <c r="B68" s="55"/>
      <c r="C68" s="53"/>
      <c r="D68" s="46"/>
      <c r="E68" s="46"/>
      <c r="F68" s="46"/>
      <c r="G68" s="46"/>
      <c r="H68" s="46"/>
      <c r="I68" s="47"/>
    </row>
    <row r="69" spans="2:9" ht="6" customHeight="1">
      <c r="B69" s="55"/>
      <c r="C69" s="53"/>
      <c r="D69" s="46"/>
      <c r="E69" s="46"/>
      <c r="F69" s="46"/>
      <c r="G69" s="46"/>
      <c r="H69" s="46"/>
      <c r="I69" s="47"/>
    </row>
    <row r="70" spans="2:9" ht="6" customHeight="1">
      <c r="B70" s="55"/>
      <c r="C70" s="53"/>
      <c r="D70" s="46"/>
      <c r="E70" s="46"/>
      <c r="F70" s="46"/>
      <c r="G70" s="46"/>
      <c r="H70" s="46"/>
      <c r="I70" s="47"/>
    </row>
    <row r="71" spans="2:9" ht="6" customHeight="1">
      <c r="B71" s="55">
        <v>0.95833333333333404</v>
      </c>
      <c r="C71" s="53"/>
      <c r="D71" s="46"/>
      <c r="E71" s="46"/>
      <c r="F71" s="46"/>
      <c r="G71" s="46"/>
      <c r="H71" s="46"/>
      <c r="I71" s="47"/>
    </row>
    <row r="72" spans="2:9" ht="6" customHeight="1">
      <c r="B72" s="55"/>
      <c r="C72" s="53"/>
      <c r="D72" s="46"/>
      <c r="E72" s="46"/>
      <c r="F72" s="46"/>
      <c r="G72" s="46"/>
      <c r="H72" s="46"/>
      <c r="I72" s="47"/>
    </row>
    <row r="73" spans="2:9" ht="6" customHeight="1">
      <c r="B73" s="55"/>
      <c r="C73" s="53"/>
      <c r="D73" s="46"/>
      <c r="E73" s="46"/>
      <c r="F73" s="46"/>
      <c r="G73" s="46"/>
      <c r="H73" s="46"/>
      <c r="I73" s="47"/>
    </row>
    <row r="74" spans="2:9" ht="6" customHeight="1">
      <c r="B74" s="55"/>
      <c r="C74" s="53"/>
      <c r="D74" s="46"/>
      <c r="E74" s="46"/>
      <c r="F74" s="46"/>
      <c r="G74" s="46"/>
      <c r="H74" s="46"/>
      <c r="I74" s="47"/>
    </row>
    <row r="75" spans="2:9" ht="6" customHeight="1">
      <c r="B75" s="55">
        <v>1.00000000000001</v>
      </c>
      <c r="C75" s="53"/>
      <c r="D75" s="46"/>
      <c r="E75" s="46"/>
      <c r="F75" s="46"/>
      <c r="G75" s="46"/>
      <c r="H75" s="46"/>
      <c r="I75" s="47"/>
    </row>
    <row r="76" spans="2:9" ht="6" customHeight="1">
      <c r="B76" s="55"/>
      <c r="C76" s="53"/>
      <c r="D76" s="46"/>
      <c r="E76" s="46"/>
      <c r="F76" s="46"/>
      <c r="G76" s="46"/>
      <c r="H76" s="46"/>
      <c r="I76" s="47"/>
    </row>
    <row r="77" spans="2:9" ht="6" customHeight="1">
      <c r="B77" s="55"/>
      <c r="C77" s="53"/>
      <c r="D77" s="46"/>
      <c r="E77" s="46"/>
      <c r="F77" s="46"/>
      <c r="G77" s="46"/>
      <c r="H77" s="46"/>
      <c r="I77" s="47"/>
    </row>
    <row r="78" spans="2:9" ht="6" customHeight="1" thickBot="1">
      <c r="B78" s="58"/>
      <c r="C78" s="54"/>
      <c r="D78" s="48"/>
      <c r="E78" s="48"/>
      <c r="F78" s="48"/>
      <c r="G78" s="48"/>
      <c r="H78" s="48"/>
      <c r="I78" s="49"/>
    </row>
  </sheetData>
  <mergeCells count="22">
    <mergeCell ref="H22:H27"/>
    <mergeCell ref="B3:B6"/>
    <mergeCell ref="B7:B10"/>
    <mergeCell ref="B11:B14"/>
    <mergeCell ref="B23:B26"/>
    <mergeCell ref="B27:B30"/>
    <mergeCell ref="B15:B18"/>
    <mergeCell ref="B47:B50"/>
    <mergeCell ref="F52:F57"/>
    <mergeCell ref="F22:F30"/>
    <mergeCell ref="B75:B78"/>
    <mergeCell ref="B51:B54"/>
    <mergeCell ref="B55:B58"/>
    <mergeCell ref="B59:B62"/>
    <mergeCell ref="B63:B66"/>
    <mergeCell ref="B67:B70"/>
    <mergeCell ref="B71:B74"/>
    <mergeCell ref="B31:B34"/>
    <mergeCell ref="B35:B38"/>
    <mergeCell ref="B39:B42"/>
    <mergeCell ref="B43:B46"/>
    <mergeCell ref="B19:B2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3FCC4-8ACE-42EE-9F19-EEBA7A758367}">
  <sheetPr codeName="Sheet5"/>
  <dimension ref="B1:G78"/>
  <sheetViews>
    <sheetView zoomScale="70" zoomScaleNormal="85" workbookViewId="0">
      <selection activeCell="E12" sqref="E12"/>
    </sheetView>
  </sheetViews>
  <sheetFormatPr defaultColWidth="20.6640625" defaultRowHeight="12" customHeight="1"/>
  <cols>
    <col min="1" max="1" width="2.33203125" style="2" customWidth="1"/>
    <col min="2" max="2" width="16.46484375" style="2" customWidth="1"/>
    <col min="3" max="3" width="73.796875" style="2" customWidth="1"/>
    <col min="4" max="4" width="9" style="2" customWidth="1"/>
    <col min="5" max="5" width="33.6640625" style="2" customWidth="1"/>
    <col min="6" max="6" width="24.1328125" style="27" customWidth="1"/>
    <col min="7" max="16384" width="20.6640625" style="2"/>
  </cols>
  <sheetData>
    <row r="1" spans="2:7" customFormat="1" ht="25.25" customHeight="1" thickBot="1">
      <c r="F1" s="38"/>
    </row>
    <row r="2" spans="2:7" ht="39.5" customHeight="1">
      <c r="B2" s="3"/>
      <c r="C2" s="40" t="str">
        <f ca="1">TEXT(TODAY(),"dddd")</f>
        <v>Sunday</v>
      </c>
      <c r="E2" s="2" t="s">
        <v>8</v>
      </c>
      <c r="F2" s="27" t="s">
        <v>9</v>
      </c>
      <c r="G2" s="2" t="s">
        <v>31</v>
      </c>
    </row>
    <row r="3" spans="2:7" ht="12" customHeight="1">
      <c r="B3" s="55">
        <v>0.25</v>
      </c>
      <c r="C3" s="43"/>
      <c r="E3" s="2" t="s">
        <v>207</v>
      </c>
      <c r="F3" s="27">
        <v>45265</v>
      </c>
      <c r="G3" s="42">
        <v>0.99930555555555556</v>
      </c>
    </row>
    <row r="4" spans="2:7" ht="12" customHeight="1">
      <c r="B4" s="55"/>
      <c r="C4" s="44"/>
      <c r="G4" s="42"/>
    </row>
    <row r="5" spans="2:7" ht="12" customHeight="1">
      <c r="B5" s="55"/>
      <c r="C5" s="44"/>
    </row>
    <row r="6" spans="2:7" ht="12" customHeight="1">
      <c r="B6" s="55"/>
      <c r="C6" s="44"/>
    </row>
    <row r="7" spans="2:7" ht="12" customHeight="1">
      <c r="B7" s="55">
        <v>0.29166666666666702</v>
      </c>
      <c r="C7" s="44"/>
    </row>
    <row r="8" spans="2:7" ht="12" customHeight="1">
      <c r="B8" s="55"/>
      <c r="C8" s="44"/>
    </row>
    <row r="9" spans="2:7" ht="12" customHeight="1">
      <c r="B9" s="55"/>
      <c r="C9" s="44"/>
    </row>
    <row r="10" spans="2:7" ht="12" customHeight="1">
      <c r="B10" s="55"/>
      <c r="C10" s="44"/>
      <c r="E10" s="61" t="s">
        <v>12</v>
      </c>
      <c r="F10" s="62"/>
      <c r="G10" s="62"/>
    </row>
    <row r="11" spans="2:7" ht="12" customHeight="1">
      <c r="B11" s="55">
        <v>0.33333333333333298</v>
      </c>
      <c r="C11" s="44"/>
      <c r="E11" s="62"/>
      <c r="F11" s="62"/>
      <c r="G11" s="62"/>
    </row>
    <row r="12" spans="2:7" ht="12" customHeight="1">
      <c r="B12" s="55"/>
      <c r="C12" s="44"/>
      <c r="E12" s="2" t="s">
        <v>13</v>
      </c>
      <c r="F12" s="27" t="s">
        <v>9</v>
      </c>
      <c r="G12" s="2" t="s">
        <v>14</v>
      </c>
    </row>
    <row r="13" spans="2:7" ht="12" customHeight="1">
      <c r="B13" s="55"/>
      <c r="C13" s="44"/>
      <c r="E13" s="27" t="s">
        <v>121</v>
      </c>
      <c r="F13" s="27">
        <v>45272</v>
      </c>
      <c r="G13" s="2" t="s">
        <v>122</v>
      </c>
    </row>
    <row r="14" spans="2:7" ht="12" customHeight="1">
      <c r="B14" s="55"/>
      <c r="C14" s="44"/>
      <c r="E14" s="27" t="s">
        <v>208</v>
      </c>
      <c r="F14" s="27">
        <v>45266</v>
      </c>
      <c r="G14" s="2" t="s">
        <v>209</v>
      </c>
    </row>
    <row r="15" spans="2:7" ht="12" customHeight="1">
      <c r="B15" s="55">
        <v>0.375</v>
      </c>
      <c r="C15" s="44"/>
      <c r="E15" s="27"/>
    </row>
    <row r="16" spans="2:7" ht="12" customHeight="1">
      <c r="B16" s="55"/>
      <c r="C16" s="44"/>
    </row>
    <row r="17" spans="2:3" ht="12" customHeight="1">
      <c r="B17" s="55"/>
      <c r="C17" s="44"/>
    </row>
    <row r="18" spans="2:3" ht="12" customHeight="1">
      <c r="B18" s="55"/>
      <c r="C18" s="44"/>
    </row>
    <row r="19" spans="2:3" ht="12" customHeight="1">
      <c r="B19" s="55">
        <v>0.41666666666666702</v>
      </c>
      <c r="C19" s="44"/>
    </row>
    <row r="20" spans="2:3" ht="12" customHeight="1">
      <c r="B20" s="55"/>
      <c r="C20" s="44"/>
    </row>
    <row r="21" spans="2:3" ht="12" customHeight="1">
      <c r="B21" s="55"/>
      <c r="C21" s="44"/>
    </row>
    <row r="22" spans="2:3" ht="12" customHeight="1">
      <c r="B22" s="55"/>
      <c r="C22" s="44"/>
    </row>
    <row r="23" spans="2:3" ht="12" customHeight="1">
      <c r="B23" s="55">
        <v>0.45833333333333298</v>
      </c>
      <c r="C23" s="44"/>
    </row>
    <row r="24" spans="2:3" ht="12" customHeight="1">
      <c r="B24" s="55"/>
      <c r="C24" s="44"/>
    </row>
    <row r="25" spans="2:3" ht="12" customHeight="1">
      <c r="B25" s="55"/>
      <c r="C25" s="44"/>
    </row>
    <row r="26" spans="2:3" ht="12" customHeight="1">
      <c r="B26" s="55"/>
      <c r="C26" s="44"/>
    </row>
    <row r="27" spans="2:3" ht="12" customHeight="1">
      <c r="B27" s="55">
        <v>0.5</v>
      </c>
      <c r="C27" s="44"/>
    </row>
    <row r="28" spans="2:3" ht="12" customHeight="1">
      <c r="B28" s="55"/>
      <c r="C28" s="44"/>
    </row>
    <row r="29" spans="2:3" ht="12" customHeight="1">
      <c r="B29" s="55"/>
      <c r="C29" s="44"/>
    </row>
    <row r="30" spans="2:3" ht="12" customHeight="1">
      <c r="B30" s="55"/>
      <c r="C30" s="44"/>
    </row>
    <row r="31" spans="2:3" ht="12" customHeight="1">
      <c r="B31" s="55">
        <v>0.54166666666666696</v>
      </c>
      <c r="C31" s="44"/>
    </row>
    <row r="32" spans="2:3" ht="12" customHeight="1">
      <c r="B32" s="55"/>
      <c r="C32" s="44"/>
    </row>
    <row r="33" spans="2:6" ht="12" customHeight="1">
      <c r="B33" s="55"/>
      <c r="C33" s="44"/>
    </row>
    <row r="34" spans="2:6" ht="12" customHeight="1">
      <c r="B34" s="55"/>
      <c r="C34" s="44"/>
    </row>
    <row r="35" spans="2:6" ht="12" customHeight="1">
      <c r="B35" s="55">
        <v>0.58333333333333304</v>
      </c>
      <c r="C35" s="44"/>
    </row>
    <row r="36" spans="2:6" ht="12" customHeight="1">
      <c r="B36" s="55"/>
      <c r="C36" s="44"/>
    </row>
    <row r="37" spans="2:6" ht="12" customHeight="1">
      <c r="B37" s="55"/>
      <c r="C37" s="44"/>
    </row>
    <row r="38" spans="2:6" ht="12" customHeight="1">
      <c r="B38" s="55"/>
      <c r="C38" s="44"/>
      <c r="E38" s="15"/>
      <c r="F38" s="39"/>
    </row>
    <row r="39" spans="2:6" ht="12" customHeight="1">
      <c r="B39" s="55">
        <v>0.625</v>
      </c>
      <c r="C39" s="44"/>
      <c r="E39" s="15"/>
      <c r="F39" s="39"/>
    </row>
    <row r="40" spans="2:6" ht="12" customHeight="1">
      <c r="B40" s="55"/>
      <c r="C40" s="44"/>
    </row>
    <row r="41" spans="2:6" ht="12" customHeight="1">
      <c r="B41" s="55"/>
      <c r="C41" s="44"/>
    </row>
    <row r="42" spans="2:6" ht="12" customHeight="1">
      <c r="B42" s="55"/>
      <c r="C42" s="44"/>
    </row>
    <row r="43" spans="2:6" ht="12" customHeight="1">
      <c r="B43" s="55">
        <v>0.66666666666666696</v>
      </c>
      <c r="C43" s="44"/>
    </row>
    <row r="44" spans="2:6" ht="12" customHeight="1">
      <c r="B44" s="55"/>
      <c r="C44" s="44"/>
    </row>
    <row r="45" spans="2:6" ht="12" customHeight="1">
      <c r="B45" s="55"/>
      <c r="C45" s="44"/>
    </row>
    <row r="46" spans="2:6" ht="12" customHeight="1">
      <c r="B46" s="55"/>
      <c r="C46" s="44"/>
    </row>
    <row r="47" spans="2:6" ht="12" customHeight="1">
      <c r="B47" s="55">
        <v>0.70833333333333304</v>
      </c>
      <c r="C47" s="44"/>
    </row>
    <row r="48" spans="2:6" ht="12" customHeight="1">
      <c r="B48" s="55"/>
      <c r="C48" s="44"/>
    </row>
    <row r="49" spans="2:3" ht="12" customHeight="1">
      <c r="B49" s="55"/>
      <c r="C49" s="44"/>
    </row>
    <row r="50" spans="2:3" ht="12" customHeight="1">
      <c r="B50" s="55"/>
      <c r="C50" s="44"/>
    </row>
    <row r="51" spans="2:3" ht="12" customHeight="1">
      <c r="B51" s="55">
        <v>0.75</v>
      </c>
      <c r="C51" s="44"/>
    </row>
    <row r="52" spans="2:3" ht="12" customHeight="1">
      <c r="B52" s="55"/>
      <c r="C52" s="44"/>
    </row>
    <row r="53" spans="2:3" ht="12" customHeight="1">
      <c r="B53" s="55"/>
      <c r="C53" s="44"/>
    </row>
    <row r="54" spans="2:3" ht="12" customHeight="1">
      <c r="B54" s="55"/>
      <c r="C54" s="44"/>
    </row>
    <row r="55" spans="2:3" ht="12" customHeight="1">
      <c r="B55" s="55">
        <v>0.79166666666666696</v>
      </c>
      <c r="C55" s="44"/>
    </row>
    <row r="56" spans="2:3" ht="12" customHeight="1">
      <c r="B56" s="55"/>
      <c r="C56" s="44"/>
    </row>
    <row r="57" spans="2:3" ht="12" customHeight="1">
      <c r="B57" s="55"/>
      <c r="C57" s="44"/>
    </row>
    <row r="58" spans="2:3" ht="12" customHeight="1">
      <c r="B58" s="55"/>
      <c r="C58" s="44"/>
    </row>
    <row r="59" spans="2:3" ht="12" customHeight="1">
      <c r="B59" s="55">
        <v>0.83333333333333304</v>
      </c>
      <c r="C59" s="44"/>
    </row>
    <row r="60" spans="2:3" ht="12" customHeight="1">
      <c r="B60" s="55"/>
      <c r="C60" s="44"/>
    </row>
    <row r="61" spans="2:3" ht="12" customHeight="1">
      <c r="B61" s="55"/>
      <c r="C61" s="44"/>
    </row>
    <row r="62" spans="2:3" ht="12" customHeight="1">
      <c r="B62" s="55"/>
      <c r="C62" s="44"/>
    </row>
    <row r="63" spans="2:3" ht="12" customHeight="1">
      <c r="B63" s="55">
        <v>0.875</v>
      </c>
      <c r="C63" s="28" t="s">
        <v>96</v>
      </c>
    </row>
    <row r="64" spans="2:3" ht="12" customHeight="1">
      <c r="B64" s="55"/>
      <c r="C64" s="59" t="s">
        <v>95</v>
      </c>
    </row>
    <row r="65" spans="2:3" ht="12" customHeight="1">
      <c r="B65" s="55"/>
      <c r="C65" s="60"/>
    </row>
    <row r="66" spans="2:3" ht="12" customHeight="1">
      <c r="B66" s="55"/>
      <c r="C66" s="44"/>
    </row>
    <row r="67" spans="2:3" ht="12" customHeight="1">
      <c r="B67" s="55">
        <v>0.91666666666666696</v>
      </c>
      <c r="C67" s="44"/>
    </row>
    <row r="68" spans="2:3" ht="12" customHeight="1">
      <c r="B68" s="55"/>
      <c r="C68" s="44"/>
    </row>
    <row r="69" spans="2:3" ht="12" customHeight="1">
      <c r="B69" s="55"/>
      <c r="C69" s="44"/>
    </row>
    <row r="70" spans="2:3" ht="12" customHeight="1">
      <c r="B70" s="55"/>
      <c r="C70" s="44"/>
    </row>
    <row r="71" spans="2:3" ht="12" customHeight="1">
      <c r="B71" s="55">
        <v>0.95833333333334603</v>
      </c>
      <c r="C71" s="44"/>
    </row>
    <row r="72" spans="2:3" ht="12" customHeight="1">
      <c r="B72" s="55"/>
      <c r="C72" s="44"/>
    </row>
    <row r="73" spans="2:3" ht="12" customHeight="1">
      <c r="B73" s="55"/>
      <c r="C73" s="44"/>
    </row>
    <row r="74" spans="2:3" ht="12" customHeight="1">
      <c r="B74" s="55"/>
      <c r="C74" s="44"/>
    </row>
    <row r="75" spans="2:3" ht="12" customHeight="1">
      <c r="B75" s="55">
        <v>1.00000000000001</v>
      </c>
      <c r="C75" s="44"/>
    </row>
    <row r="76" spans="2:3" ht="12" customHeight="1">
      <c r="B76" s="55"/>
      <c r="C76" s="44"/>
    </row>
    <row r="77" spans="2:3" ht="12" customHeight="1">
      <c r="B77" s="55"/>
      <c r="C77" s="44"/>
    </row>
    <row r="78" spans="2:3" ht="12" customHeight="1" thickBot="1">
      <c r="B78" s="58"/>
      <c r="C78" s="45"/>
    </row>
  </sheetData>
  <mergeCells count="21">
    <mergeCell ref="E10:G11"/>
    <mergeCell ref="B3:B6"/>
    <mergeCell ref="B7:B10"/>
    <mergeCell ref="B11:B14"/>
    <mergeCell ref="B15:B18"/>
    <mergeCell ref="C64:C65"/>
    <mergeCell ref="B19:B22"/>
    <mergeCell ref="B23:B26"/>
    <mergeCell ref="B27:B30"/>
    <mergeCell ref="B31:B34"/>
    <mergeCell ref="B67:B70"/>
    <mergeCell ref="B71:B74"/>
    <mergeCell ref="B75:B78"/>
    <mergeCell ref="B35:B38"/>
    <mergeCell ref="B39:B42"/>
    <mergeCell ref="B43:B46"/>
    <mergeCell ref="B47:B50"/>
    <mergeCell ref="B51:B54"/>
    <mergeCell ref="B55:B58"/>
    <mergeCell ref="B59:B62"/>
    <mergeCell ref="B63:B66"/>
  </mergeCells>
  <dataValidations count="1">
    <dataValidation type="list" allowBlank="1" showInputMessage="1" showErrorMessage="1" sqref="E36:E37 G38:G89 G12:G14" xr:uid="{16852BAB-5869-4B5D-9973-2BDCD8D15288}">
      <formula1>"Incomplete, Ongoing, Complete"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E32B7-8223-4D52-BF26-A0DEEF7BB469}">
  <sheetPr codeName="Sheet7"/>
  <dimension ref="B1:K10"/>
  <sheetViews>
    <sheetView zoomScale="80" zoomScaleNormal="100" workbookViewId="0">
      <selection activeCell="D38" sqref="D38"/>
    </sheetView>
  </sheetViews>
  <sheetFormatPr defaultColWidth="8.796875" defaultRowHeight="14.25"/>
  <cols>
    <col min="2" max="2" width="25.46484375" customWidth="1"/>
    <col min="3" max="3" width="12.6640625" customWidth="1"/>
    <col min="4" max="4" width="21.46484375" style="30" customWidth="1"/>
    <col min="5" max="5" width="16.86328125" customWidth="1"/>
    <col min="8" max="8" width="8.1328125" customWidth="1"/>
    <col min="9" max="9" width="9.86328125" customWidth="1"/>
  </cols>
  <sheetData>
    <row r="1" spans="2:11" ht="14.65" thickBot="1"/>
    <row r="2" spans="2:11" ht="14.45" customHeight="1">
      <c r="B2" s="63" t="s">
        <v>102</v>
      </c>
      <c r="C2" s="64"/>
      <c r="D2" s="64"/>
      <c r="E2" s="65"/>
      <c r="G2" s="74" t="s">
        <v>104</v>
      </c>
      <c r="H2" s="75"/>
      <c r="I2" s="75"/>
      <c r="J2" s="75"/>
      <c r="K2" s="76"/>
    </row>
    <row r="3" spans="2:11" ht="14.45" customHeight="1">
      <c r="B3" s="66"/>
      <c r="C3" s="67"/>
      <c r="D3" s="67"/>
      <c r="E3" s="68"/>
      <c r="G3" s="77"/>
      <c r="H3" s="78"/>
      <c r="I3" s="78"/>
      <c r="J3" s="78"/>
      <c r="K3" s="79"/>
    </row>
    <row r="4" spans="2:11" ht="14.45" customHeight="1">
      <c r="B4" s="18" t="s">
        <v>101</v>
      </c>
      <c r="C4" t="s">
        <v>102</v>
      </c>
      <c r="D4" s="35" t="s">
        <v>106</v>
      </c>
      <c r="E4" s="31" t="s">
        <v>107</v>
      </c>
      <c r="G4" s="77"/>
      <c r="H4" s="78"/>
      <c r="I4" s="78"/>
      <c r="J4" s="78"/>
      <c r="K4" s="79"/>
    </row>
    <row r="5" spans="2:11">
      <c r="B5" s="18" t="str">
        <f>PivotTables!E3</f>
        <v>Academics</v>
      </c>
      <c r="C5">
        <v>23</v>
      </c>
      <c r="D5" s="35">
        <f>PivotTables!V3</f>
        <v>4.6348314606741582E-2</v>
      </c>
      <c r="E5" s="31">
        <f>TimeGoals[[#This Row],[Past Overall Average]]/TimeGoals[[#This Row],[Goals]]</f>
        <v>2.0151441133365905E-3</v>
      </c>
      <c r="G5" s="69" t="s">
        <v>108</v>
      </c>
      <c r="H5" s="57"/>
      <c r="I5" s="57"/>
      <c r="J5" s="57"/>
      <c r="K5" s="70"/>
    </row>
    <row r="6" spans="2:11">
      <c r="B6" s="18" t="str">
        <f>PivotTables!E4</f>
        <v>Exercise</v>
      </c>
      <c r="C6">
        <v>0.1</v>
      </c>
      <c r="D6" s="35">
        <f>PivotTables!V4</f>
        <v>7.0224719101123611E-3</v>
      </c>
      <c r="E6" s="31">
        <f>TimeGoals[[#This Row],[Past Overall Average]]/TimeGoals[[#This Row],[Goals]]</f>
        <v>7.02247191011236E-2</v>
      </c>
      <c r="G6" s="69"/>
      <c r="H6" s="57"/>
      <c r="I6" s="57"/>
      <c r="J6" s="57"/>
      <c r="K6" s="70"/>
    </row>
    <row r="7" spans="2:11">
      <c r="B7" s="18" t="str">
        <f>PivotTables!E5</f>
        <v>Extracurricular</v>
      </c>
      <c r="C7">
        <v>0.1</v>
      </c>
      <c r="D7" s="35">
        <f>PivotTables!V5</f>
        <v>2.1067415730337078E-3</v>
      </c>
      <c r="E7" s="31">
        <f>TimeGoals[[#This Row],[Past Overall Average]]/TimeGoals[[#This Row],[Goals]]</f>
        <v>2.1067415730337078E-2</v>
      </c>
      <c r="G7" s="69"/>
      <c r="H7" s="57"/>
      <c r="I7" s="57"/>
      <c r="J7" s="57"/>
      <c r="K7" s="70"/>
    </row>
    <row r="8" spans="2:11">
      <c r="B8" s="18" t="str">
        <f>PivotTables!E6</f>
        <v>Other</v>
      </c>
      <c r="C8">
        <v>0.1</v>
      </c>
      <c r="D8" s="35">
        <f>PivotTables!V6</f>
        <v>3.5112359550561749E-3</v>
      </c>
      <c r="E8" s="31">
        <f>TimeGoals[[#This Row],[Past Overall Average]]/TimeGoals[[#This Row],[Goals]]</f>
        <v>3.5112359550561745E-2</v>
      </c>
      <c r="G8" s="69"/>
      <c r="H8" s="57"/>
      <c r="I8" s="57"/>
      <c r="J8" s="57"/>
      <c r="K8" s="70"/>
    </row>
    <row r="9" spans="2:11">
      <c r="B9" s="18" t="str">
        <f>PivotTables!E7</f>
        <v>Routine Tasks</v>
      </c>
      <c r="C9">
        <v>0.1</v>
      </c>
      <c r="D9" s="35">
        <f>PivotTables!V7</f>
        <v>1.4044943820224745E-3</v>
      </c>
      <c r="E9" s="31">
        <f>TimeGoals[[#This Row],[Past Overall Average]]/TimeGoals[[#This Row],[Goals]]</f>
        <v>1.4044943820224745E-2</v>
      </c>
      <c r="G9" s="69"/>
      <c r="H9" s="57"/>
      <c r="I9" s="57"/>
      <c r="J9" s="57"/>
      <c r="K9" s="70"/>
    </row>
    <row r="10" spans="2:11" ht="14.65" thickBot="1">
      <c r="B10" s="32" t="str">
        <f>PivotTables!E8</f>
        <v>Social</v>
      </c>
      <c r="C10" s="33">
        <v>0.1</v>
      </c>
      <c r="D10" s="36">
        <f>PivotTables!V8</f>
        <v>1.1938202247191021E-2</v>
      </c>
      <c r="E10" s="34">
        <f>TimeGoals[[#This Row],[Past Overall Average]]/TimeGoals[[#This Row],[Goals]]</f>
        <v>0.11938202247191021</v>
      </c>
      <c r="G10" s="71"/>
      <c r="H10" s="72"/>
      <c r="I10" s="72"/>
      <c r="J10" s="72"/>
      <c r="K10" s="73"/>
    </row>
  </sheetData>
  <mergeCells count="3">
    <mergeCell ref="B2:E3"/>
    <mergeCell ref="G5:K10"/>
    <mergeCell ref="G2:K4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A46E5-AF76-41E9-8EB7-6EF8491D7A2C}">
  <sheetPr codeName="Sheet12"/>
  <dimension ref="A1:Z12"/>
  <sheetViews>
    <sheetView tabSelected="1" topLeftCell="L1" zoomScale="85" zoomScaleNormal="85" workbookViewId="0">
      <selection activeCell="R2" sqref="R2"/>
    </sheetView>
  </sheetViews>
  <sheetFormatPr defaultColWidth="8.796875" defaultRowHeight="14.25"/>
  <cols>
    <col min="1" max="1" width="18" bestFit="1" customWidth="1"/>
    <col min="2" max="2" width="16.46484375" bestFit="1" customWidth="1"/>
    <col min="3" max="3" width="11.46484375" bestFit="1" customWidth="1"/>
    <col min="4" max="4" width="15.1328125" customWidth="1"/>
    <col min="5" max="5" width="13.46484375" bestFit="1" customWidth="1"/>
    <col min="6" max="6" width="18" bestFit="1" customWidth="1"/>
    <col min="7" max="7" width="16.796875" bestFit="1" customWidth="1"/>
    <col min="8" max="8" width="18" bestFit="1" customWidth="1"/>
    <col min="9" max="9" width="16.46484375" bestFit="1" customWidth="1"/>
    <col min="10" max="10" width="11.46484375" bestFit="1" customWidth="1"/>
    <col min="11" max="11" width="26" bestFit="1" customWidth="1"/>
    <col min="12" max="12" width="14.86328125" bestFit="1" customWidth="1"/>
    <col min="13" max="13" width="16.46484375" bestFit="1" customWidth="1"/>
    <col min="14" max="14" width="11.46484375" bestFit="1" customWidth="1"/>
    <col min="15" max="15" width="8.46484375" bestFit="1" customWidth="1"/>
    <col min="16" max="16" width="11.46484375" bestFit="1" customWidth="1"/>
    <col min="17" max="17" width="14.6640625" bestFit="1" customWidth="1"/>
    <col min="18" max="18" width="13.46484375" bestFit="1" customWidth="1"/>
    <col min="19" max="19" width="10.53125" customWidth="1"/>
    <col min="22" max="22" width="10.1328125" style="35" customWidth="1"/>
    <col min="25" max="25" width="9.796875" bestFit="1" customWidth="1"/>
    <col min="26" max="26" width="13.3984375" bestFit="1" customWidth="1"/>
  </cols>
  <sheetData>
    <row r="1" spans="1:26" ht="18">
      <c r="A1" s="80" t="s">
        <v>60</v>
      </c>
      <c r="B1" s="80"/>
      <c r="C1" s="80"/>
      <c r="E1" s="26"/>
      <c r="F1" s="26"/>
    </row>
    <row r="2" spans="1:26">
      <c r="A2" s="23" t="s">
        <v>61</v>
      </c>
      <c r="B2" s="23" t="s">
        <v>62</v>
      </c>
      <c r="E2" s="23" t="s">
        <v>63</v>
      </c>
      <c r="F2" t="s">
        <v>61</v>
      </c>
      <c r="H2" s="23" t="s">
        <v>61</v>
      </c>
      <c r="I2" s="23" t="s">
        <v>62</v>
      </c>
      <c r="M2" s="23" t="s">
        <v>62</v>
      </c>
      <c r="R2" t="s">
        <v>101</v>
      </c>
      <c r="S2" t="s">
        <v>98</v>
      </c>
      <c r="T2" t="s">
        <v>99</v>
      </c>
      <c r="U2" t="s">
        <v>100</v>
      </c>
      <c r="V2" s="35" t="s">
        <v>103</v>
      </c>
      <c r="W2" t="s">
        <v>102</v>
      </c>
      <c r="Y2" s="23" t="s">
        <v>14</v>
      </c>
      <c r="Z2" t="s">
        <v>65</v>
      </c>
    </row>
    <row r="3" spans="1:26">
      <c r="A3" s="23" t="s">
        <v>63</v>
      </c>
      <c r="B3" s="41" t="s">
        <v>32</v>
      </c>
      <c r="C3" t="s">
        <v>64</v>
      </c>
      <c r="E3" s="25" t="s">
        <v>32</v>
      </c>
      <c r="F3">
        <v>16.500000000000004</v>
      </c>
      <c r="H3" s="23" t="s">
        <v>63</v>
      </c>
      <c r="I3" t="s">
        <v>47</v>
      </c>
      <c r="J3" t="s">
        <v>64</v>
      </c>
      <c r="M3" t="s">
        <v>120</v>
      </c>
      <c r="N3" t="s">
        <v>64</v>
      </c>
      <c r="R3" t="str">
        <f t="shared" ref="R3:R8" si="0">E3</f>
        <v>Academics</v>
      </c>
      <c r="S3">
        <f>MIN(MasterTable[Date])</f>
        <v>45248</v>
      </c>
      <c r="T3">
        <f>MAX(MasterTable[Date])</f>
        <v>47739</v>
      </c>
      <c r="U3">
        <f t="shared" ref="U3:U8" si="1">ROUND((T3-S3)/7,0)</f>
        <v>356</v>
      </c>
      <c r="V3" s="35">
        <f>GETPIVOTDATA("Time Spent",$E$2,"Type",Table6[[#This Row],[Category]])/Table6[[#This Row],[Number of Weeks]]</f>
        <v>4.6348314606741582E-2</v>
      </c>
      <c r="W3">
        <f>Goals!C5</f>
        <v>23</v>
      </c>
      <c r="Y3" t="s">
        <v>122</v>
      </c>
      <c r="Z3">
        <v>1</v>
      </c>
    </row>
    <row r="4" spans="1:26">
      <c r="A4" s="24">
        <v>45250</v>
      </c>
      <c r="B4">
        <v>2.0000000000000009</v>
      </c>
      <c r="C4">
        <v>2.0000000000000009</v>
      </c>
      <c r="E4" s="25" t="s">
        <v>47</v>
      </c>
      <c r="F4">
        <v>2.5000000000000004</v>
      </c>
      <c r="H4" s="24">
        <v>45248</v>
      </c>
      <c r="I4">
        <v>0.25000000000000044</v>
      </c>
      <c r="J4">
        <v>0.25000000000000044</v>
      </c>
      <c r="L4" t="s">
        <v>65</v>
      </c>
      <c r="R4" t="str">
        <f t="shared" si="0"/>
        <v>Exercise</v>
      </c>
      <c r="S4">
        <f>MIN(MasterTable[Date])</f>
        <v>45248</v>
      </c>
      <c r="T4">
        <f>MAX(MasterTable[Date])</f>
        <v>47739</v>
      </c>
      <c r="U4">
        <f t="shared" si="1"/>
        <v>356</v>
      </c>
      <c r="V4" s="35">
        <f>GETPIVOTDATA("Time Spent",$E$2,"Type",Table6[[#This Row],[Category]])/Table6[[#This Row],[Number of Weeks]]</f>
        <v>7.0224719101123611E-3</v>
      </c>
      <c r="W4">
        <f>Goals!C6</f>
        <v>0.1</v>
      </c>
      <c r="Y4" t="s">
        <v>209</v>
      </c>
      <c r="Z4">
        <v>1</v>
      </c>
    </row>
    <row r="5" spans="1:26">
      <c r="A5" s="24">
        <v>45253</v>
      </c>
      <c r="B5">
        <v>1.2500000000000009</v>
      </c>
      <c r="C5">
        <v>1.2500000000000009</v>
      </c>
      <c r="E5" s="25" t="s">
        <v>52</v>
      </c>
      <c r="F5">
        <v>0.75</v>
      </c>
      <c r="H5" s="24">
        <v>45252</v>
      </c>
      <c r="I5">
        <v>2.0000000000000009</v>
      </c>
      <c r="J5">
        <v>2.0000000000000009</v>
      </c>
      <c r="R5" t="str">
        <f t="shared" si="0"/>
        <v>Extracurricular</v>
      </c>
      <c r="S5">
        <f>MIN(MasterTable[Date])</f>
        <v>45248</v>
      </c>
      <c r="T5">
        <f>MAX(MasterTable[Date])</f>
        <v>47739</v>
      </c>
      <c r="U5">
        <f t="shared" si="1"/>
        <v>356</v>
      </c>
      <c r="V5" s="35">
        <f>GETPIVOTDATA("Time Spent",$E$2,"Type",Table6[[#This Row],[Category]])/Table6[[#This Row],[Number of Weeks]]</f>
        <v>2.1067415730337078E-3</v>
      </c>
      <c r="W5">
        <f>Goals!C7</f>
        <v>0.1</v>
      </c>
    </row>
    <row r="6" spans="1:26">
      <c r="A6" s="24">
        <v>45284</v>
      </c>
      <c r="B6">
        <v>5</v>
      </c>
      <c r="C6">
        <v>5</v>
      </c>
      <c r="E6" s="25" t="s">
        <v>54</v>
      </c>
      <c r="F6">
        <v>1.2499999999999982</v>
      </c>
      <c r="H6" s="24">
        <v>45251</v>
      </c>
      <c r="I6">
        <v>0.24999999999999911</v>
      </c>
      <c r="J6">
        <v>0.24999999999999911</v>
      </c>
      <c r="R6" t="str">
        <f t="shared" si="0"/>
        <v>Other</v>
      </c>
      <c r="S6">
        <f>MIN(MasterTable[Date])</f>
        <v>45248</v>
      </c>
      <c r="T6">
        <f>MAX(MasterTable[Date])</f>
        <v>47739</v>
      </c>
      <c r="U6">
        <f t="shared" si="1"/>
        <v>356</v>
      </c>
      <c r="V6" s="35">
        <f>GETPIVOTDATA("Time Spent",$E$2,"Type",Table6[[#This Row],[Category]])/Table6[[#This Row],[Number of Weeks]]</f>
        <v>3.5112359550561749E-3</v>
      </c>
      <c r="W6">
        <f>Goals!C8</f>
        <v>0.1</v>
      </c>
    </row>
    <row r="7" spans="1:26">
      <c r="A7" s="24">
        <v>45286</v>
      </c>
      <c r="B7">
        <v>1.7499999999999991</v>
      </c>
      <c r="C7">
        <v>1.7499999999999991</v>
      </c>
      <c r="E7" s="25" t="s">
        <v>50</v>
      </c>
      <c r="F7">
        <v>0.50000000000000089</v>
      </c>
      <c r="H7" s="24" t="s">
        <v>64</v>
      </c>
      <c r="I7">
        <v>2.5000000000000004</v>
      </c>
      <c r="J7">
        <v>2.5000000000000004</v>
      </c>
      <c r="R7" t="str">
        <f t="shared" si="0"/>
        <v>Routine Tasks</v>
      </c>
      <c r="S7">
        <f>MIN(MasterTable[Date])</f>
        <v>45248</v>
      </c>
      <c r="T7">
        <f>MAX(MasterTable[Date])</f>
        <v>47739</v>
      </c>
      <c r="U7">
        <f t="shared" si="1"/>
        <v>356</v>
      </c>
      <c r="V7" s="35">
        <f>GETPIVOTDATA("Time Spent",$E$2,"Type",Table6[[#This Row],[Category]])/Table6[[#This Row],[Number of Weeks]]</f>
        <v>1.4044943820224745E-3</v>
      </c>
      <c r="W7">
        <f>Goals!C9</f>
        <v>0.1</v>
      </c>
    </row>
    <row r="8" spans="1:26">
      <c r="A8" s="24">
        <v>45280</v>
      </c>
      <c r="B8">
        <v>3</v>
      </c>
      <c r="C8">
        <v>3</v>
      </c>
      <c r="E8" s="25" t="s">
        <v>44</v>
      </c>
      <c r="F8">
        <v>4.2500000000000036</v>
      </c>
      <c r="R8" t="str">
        <f t="shared" si="0"/>
        <v>Social</v>
      </c>
      <c r="S8">
        <f>MIN(MasterTable[Date])</f>
        <v>45248</v>
      </c>
      <c r="T8">
        <f>MAX(MasterTable[Date])</f>
        <v>47739</v>
      </c>
      <c r="U8">
        <f t="shared" si="1"/>
        <v>356</v>
      </c>
      <c r="V8" s="35">
        <f>GETPIVOTDATA("Time Spent",$E$2,"Type",Table6[[#This Row],[Category]])/Table6[[#This Row],[Number of Weeks]]</f>
        <v>1.1938202247191021E-2</v>
      </c>
      <c r="W8">
        <f>Goals!C10</f>
        <v>0.1</v>
      </c>
    </row>
    <row r="9" spans="1:26">
      <c r="A9" s="24">
        <v>45282</v>
      </c>
      <c r="B9">
        <v>1.2499999999999996</v>
      </c>
      <c r="C9">
        <v>1.2499999999999996</v>
      </c>
      <c r="E9" s="25" t="s">
        <v>64</v>
      </c>
      <c r="F9">
        <v>25.750000000000004</v>
      </c>
    </row>
    <row r="10" spans="1:26">
      <c r="A10" s="24">
        <v>45288</v>
      </c>
      <c r="B10">
        <v>1.7499999999999991</v>
      </c>
      <c r="C10">
        <v>1.7499999999999991</v>
      </c>
    </row>
    <row r="11" spans="1:26">
      <c r="A11" s="24">
        <v>45264</v>
      </c>
      <c r="B11">
        <v>0.50000000000000089</v>
      </c>
      <c r="C11">
        <v>0.50000000000000089</v>
      </c>
    </row>
    <row r="12" spans="1:26">
      <c r="A12" s="24" t="s">
        <v>64</v>
      </c>
      <c r="B12">
        <v>16.5</v>
      </c>
      <c r="C12">
        <v>16.5</v>
      </c>
    </row>
  </sheetData>
  <mergeCells count="1">
    <mergeCell ref="A1:C1"/>
  </mergeCells>
  <pageMargins left="0.7" right="0.7" top="0.75" bottom="0.75" header="0.3" footer="0.3"/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C6F2B-83D4-4F40-AA63-13C8A51E8F0B}">
  <sheetPr codeName="Sheet4"/>
  <dimension ref="A1:T133"/>
  <sheetViews>
    <sheetView zoomScale="85" zoomScaleNormal="85" workbookViewId="0">
      <selection activeCell="D99" sqref="D99"/>
    </sheetView>
  </sheetViews>
  <sheetFormatPr defaultColWidth="8.796875" defaultRowHeight="14.25"/>
  <cols>
    <col min="1" max="1" width="28.796875" customWidth="1"/>
    <col min="2" max="2" width="15" customWidth="1"/>
    <col min="3" max="3" width="12" style="14" customWidth="1"/>
    <col min="4" max="4" width="20.1328125" style="14" customWidth="1"/>
    <col min="5" max="5" width="10.6640625" style="16" customWidth="1"/>
    <col min="6" max="6" width="10.46484375" customWidth="1"/>
    <col min="7" max="7" width="12.1328125" customWidth="1"/>
    <col min="8" max="8" width="11.6640625" customWidth="1"/>
    <col min="9" max="9" width="16.33203125" customWidth="1"/>
    <col min="10" max="10" width="15.1328125" customWidth="1"/>
    <col min="11" max="11" width="15.1328125" style="13" customWidth="1"/>
    <col min="12" max="13" width="12.796875" customWidth="1"/>
    <col min="14" max="14" width="11.46484375" style="37" customWidth="1"/>
    <col min="15" max="15" width="17.6640625" customWidth="1"/>
    <col min="16" max="16" width="12.46484375" style="35" customWidth="1"/>
    <col min="17" max="17" width="12.46484375" customWidth="1"/>
    <col min="18" max="18" width="13.6640625" customWidth="1"/>
    <col min="19" max="19" width="12.1328125" customWidth="1"/>
    <col min="20" max="20" width="15.1328125" customWidth="1"/>
  </cols>
  <sheetData>
    <row r="1" spans="1:20">
      <c r="A1" t="s">
        <v>15</v>
      </c>
      <c r="B1" t="s">
        <v>16</v>
      </c>
      <c r="C1" t="s">
        <v>17</v>
      </c>
      <c r="D1" s="14" t="s">
        <v>18</v>
      </c>
      <c r="E1" s="16" t="s">
        <v>19</v>
      </c>
      <c r="F1" s="16" t="s">
        <v>20</v>
      </c>
      <c r="G1" s="16" t="s">
        <v>21</v>
      </c>
      <c r="H1" s="16" t="s">
        <v>22</v>
      </c>
      <c r="I1" s="16" t="s">
        <v>23</v>
      </c>
      <c r="J1" s="16" t="s">
        <v>24</v>
      </c>
      <c r="K1" s="13" t="s">
        <v>25</v>
      </c>
      <c r="L1" t="s">
        <v>26</v>
      </c>
      <c r="M1" t="s">
        <v>27</v>
      </c>
      <c r="N1" s="37" t="s">
        <v>28</v>
      </c>
      <c r="O1" t="s">
        <v>29</v>
      </c>
      <c r="P1" s="35" t="s">
        <v>30</v>
      </c>
      <c r="R1" t="s">
        <v>16</v>
      </c>
      <c r="S1" t="s">
        <v>18</v>
      </c>
      <c r="T1" t="s">
        <v>31</v>
      </c>
    </row>
    <row r="2" spans="1:20">
      <c r="A2" s="13" t="s">
        <v>36</v>
      </c>
      <c r="B2" t="s">
        <v>37</v>
      </c>
      <c r="C2" s="14" t="s">
        <v>47</v>
      </c>
      <c r="D2" s="14">
        <v>45248</v>
      </c>
      <c r="E2" s="16">
        <v>0.41319444444444442</v>
      </c>
      <c r="F2" s="16">
        <v>0.42499999999999999</v>
      </c>
      <c r="G2" s="16">
        <f>MROUND(MasterTable[[#This Row],[Start Time]],"0:15")</f>
        <v>0.41666666666666663</v>
      </c>
      <c r="H2" s="16">
        <f>MROUND(MasterTable[[#This Row],[End Time]], "0:15")</f>
        <v>0.42708333333333331</v>
      </c>
      <c r="I2" s="16">
        <f>MasterTable[[#This Row],[Start Time]]-MasterTable[[#This Row],[Travel Time]]</f>
        <v>0.39861111111111108</v>
      </c>
      <c r="J2" s="16">
        <f>MROUND(MasterTable[[#This Row],[Travel ST]], "0:15")</f>
        <v>0.39583333333333331</v>
      </c>
      <c r="K2" s="13">
        <f>(MasterTable[[#This Row],[Start Time Adj]]-MasterTable[[#This Row],[Rd Travel ST]])*96</f>
        <v>1.9999999999999982</v>
      </c>
      <c r="L2" s="13">
        <f>(MasterTable[[#This Row],[End Time Adj]]-MasterTable[[#This Row],[Start Time Adj]])*96</f>
        <v>1.0000000000000018</v>
      </c>
      <c r="M2" s="13">
        <f>(MasterTable[[#This Row],[End Time Adj]]-MasterTable[[#This Row],[Rd Travel ST]])*96</f>
        <v>3</v>
      </c>
      <c r="N2" s="37">
        <v>1.4583333333333332E-2</v>
      </c>
      <c r="O2" s="13" t="s">
        <v>33</v>
      </c>
      <c r="P2" s="35">
        <f>MasterTable[[#This Row],[Daily E HL2]]/4</f>
        <v>0.25000000000000044</v>
      </c>
      <c r="Q2" s="13"/>
      <c r="R2" t="s">
        <v>10</v>
      </c>
      <c r="S2" s="14">
        <v>45252</v>
      </c>
      <c r="T2" s="1">
        <v>0.99930555555555556</v>
      </c>
    </row>
    <row r="3" spans="1:20">
      <c r="A3" s="13" t="s">
        <v>53</v>
      </c>
      <c r="B3" t="s">
        <v>49</v>
      </c>
      <c r="C3" s="14" t="s">
        <v>54</v>
      </c>
      <c r="D3" s="14">
        <v>45250</v>
      </c>
      <c r="E3" s="16">
        <v>0.58888888888888891</v>
      </c>
      <c r="F3" s="16">
        <v>0.64236111111111105</v>
      </c>
      <c r="G3" s="16">
        <f>MROUND(MasterTable[[#This Row],[Start Time]],"0:15")</f>
        <v>0.59375</v>
      </c>
      <c r="H3" s="16">
        <f>MROUND(MasterTable[[#This Row],[End Time]], "0:15")</f>
        <v>0.64583333333333326</v>
      </c>
      <c r="I3" s="16">
        <f>MasterTable[[#This Row],[Start Time]]-MasterTable[[#This Row],[Travel Time]]</f>
        <v>0.56805555555555554</v>
      </c>
      <c r="J3" s="16">
        <f>MROUND(MasterTable[[#This Row],[Travel ST]], "0:15")</f>
        <v>0.57291666666666663</v>
      </c>
      <c r="K3" s="13">
        <f>(MasterTable[[#This Row],[Start Time Adj]]-MasterTable[[#This Row],[Rd Travel ST]])*96</f>
        <v>2.0000000000000036</v>
      </c>
      <c r="L3" s="13">
        <f>(MasterTable[[#This Row],[End Time Adj]]-MasterTable[[#This Row],[Start Time Adj]])*96</f>
        <v>4.9999999999999929</v>
      </c>
      <c r="M3" s="13">
        <f>(MasterTable[[#This Row],[End Time Adj]]-MasterTable[[#This Row],[Rd Travel ST]])*96</f>
        <v>6.9999999999999964</v>
      </c>
      <c r="N3" s="37">
        <v>2.0833333333333332E-2</v>
      </c>
      <c r="O3" s="13" t="s">
        <v>33</v>
      </c>
      <c r="P3" s="35">
        <f>MasterTable[[#This Row],[Daily E HL2]]/4</f>
        <v>1.2499999999999982</v>
      </c>
      <c r="Q3" s="13"/>
      <c r="R3" t="s">
        <v>11</v>
      </c>
      <c r="S3" s="14">
        <v>45256</v>
      </c>
      <c r="T3" s="1">
        <v>0.99930555555555556</v>
      </c>
    </row>
    <row r="4" spans="1:20">
      <c r="A4" s="13" t="s">
        <v>57</v>
      </c>
      <c r="B4" t="s">
        <v>37</v>
      </c>
      <c r="C4" s="14" t="s">
        <v>32</v>
      </c>
      <c r="D4" s="14">
        <v>45250</v>
      </c>
      <c r="E4" s="16">
        <v>0.29236111111111113</v>
      </c>
      <c r="F4" s="16">
        <v>0.37083333333333335</v>
      </c>
      <c r="G4" s="16">
        <f>MROUND(MasterTable[[#This Row],[Start Time]],"0:15")</f>
        <v>0.29166666666666663</v>
      </c>
      <c r="H4" s="16">
        <f>MROUND(MasterTable[[#This Row],[End Time]], "0:15")</f>
        <v>0.375</v>
      </c>
      <c r="I4" s="16">
        <f>MasterTable[[#This Row],[Start Time]]-MasterTable[[#This Row],[Travel Time]]</f>
        <v>0.28750000000000003</v>
      </c>
      <c r="J4" s="16">
        <f>MROUND(MasterTable[[#This Row],[Travel ST]], "0:15")</f>
        <v>0.29166666666666663</v>
      </c>
      <c r="K4" s="13">
        <f>(MasterTable[[#This Row],[Start Time Adj]]-MasterTable[[#This Row],[Rd Travel ST]])*96</f>
        <v>0</v>
      </c>
      <c r="L4" s="13">
        <f>(MasterTable[[#This Row],[End Time Adj]]-MasterTable[[#This Row],[Start Time Adj]])*96</f>
        <v>8.0000000000000036</v>
      </c>
      <c r="M4" s="13">
        <f>(MasterTable[[#This Row],[End Time Adj]]-MasterTable[[#This Row],[Rd Travel ST]])*96</f>
        <v>8.0000000000000036</v>
      </c>
      <c r="N4" s="37">
        <v>4.8611111111111112E-3</v>
      </c>
      <c r="O4" s="13" t="s">
        <v>33</v>
      </c>
      <c r="P4" s="35">
        <f>MasterTable[[#This Row],[Daily E HL2]]/4</f>
        <v>2.0000000000000009</v>
      </c>
      <c r="Q4" s="13"/>
      <c r="R4" t="s">
        <v>35</v>
      </c>
      <c r="S4" s="14">
        <v>45251</v>
      </c>
      <c r="T4" s="1">
        <v>0.59722222222222221</v>
      </c>
    </row>
    <row r="5" spans="1:20">
      <c r="A5" s="13" t="s">
        <v>42</v>
      </c>
      <c r="B5" t="s">
        <v>43</v>
      </c>
      <c r="C5" s="14" t="s">
        <v>44</v>
      </c>
      <c r="D5" s="14">
        <v>45251</v>
      </c>
      <c r="E5" s="16">
        <v>0.77222222222222225</v>
      </c>
      <c r="F5" s="16">
        <v>0.82500000000000007</v>
      </c>
      <c r="G5" s="16">
        <f>MROUND(MasterTable[[#This Row],[Start Time]],"0:15")</f>
        <v>0.77083333333333326</v>
      </c>
      <c r="H5" s="16">
        <f>MROUND(MasterTable[[#This Row],[End Time]], "0:15")</f>
        <v>0.82291666666666663</v>
      </c>
      <c r="I5" s="16">
        <f>MasterTable[[#This Row],[Start Time]]-MasterTable[[#This Row],[Travel Time]]</f>
        <v>0.76180555555555562</v>
      </c>
      <c r="J5" s="16">
        <f>MROUND(MasterTable[[#This Row],[Travel ST]], "0:15")</f>
        <v>0.76041666666666663</v>
      </c>
      <c r="K5" s="13">
        <f>(MasterTable[[#This Row],[Start Time Adj]]-MasterTable[[#This Row],[Rd Travel ST]])*96</f>
        <v>0.99999999999999645</v>
      </c>
      <c r="L5" s="13">
        <f>(MasterTable[[#This Row],[End Time Adj]]-MasterTable[[#This Row],[Start Time Adj]])*96</f>
        <v>5.0000000000000036</v>
      </c>
      <c r="M5" s="13">
        <f>(MasterTable[[#This Row],[End Time Adj]]-MasterTable[[#This Row],[Rd Travel ST]])*96</f>
        <v>6</v>
      </c>
      <c r="N5" s="37">
        <v>1.0416666666666666E-2</v>
      </c>
      <c r="O5" s="13" t="s">
        <v>33</v>
      </c>
      <c r="P5" s="35">
        <f>MasterTable[[#This Row],[Daily E HL2]]/4</f>
        <v>1.2500000000000009</v>
      </c>
      <c r="Q5" s="13"/>
      <c r="R5" t="s">
        <v>97</v>
      </c>
      <c r="S5" s="14">
        <v>45272</v>
      </c>
      <c r="T5" s="1">
        <v>2.7083333333333334E-2</v>
      </c>
    </row>
    <row r="6" spans="1:20">
      <c r="A6" s="13" t="s">
        <v>55</v>
      </c>
      <c r="B6" t="s">
        <v>56</v>
      </c>
      <c r="C6" s="14" t="s">
        <v>44</v>
      </c>
      <c r="D6" s="14">
        <v>45251</v>
      </c>
      <c r="E6" s="16">
        <v>0.375</v>
      </c>
      <c r="F6" s="16">
        <v>0.41666666666666669</v>
      </c>
      <c r="G6" s="16">
        <f>MROUND(MasterTable[[#This Row],[Start Time]],"0:15")</f>
        <v>0.375</v>
      </c>
      <c r="H6" s="16">
        <f>MROUND(MasterTable[[#This Row],[End Time]], "0:15")</f>
        <v>0.41666666666666663</v>
      </c>
      <c r="I6" s="16">
        <f>MasterTable[[#This Row],[Start Time]]-MasterTable[[#This Row],[Travel Time]]</f>
        <v>0.36805555555555558</v>
      </c>
      <c r="J6" s="16">
        <f>MROUND(MasterTable[[#This Row],[Travel ST]], "0:15")</f>
        <v>0.36458333333333331</v>
      </c>
      <c r="K6" s="13">
        <f>(MasterTable[[#This Row],[Start Time Adj]]-MasterTable[[#This Row],[Rd Travel ST]])*96</f>
        <v>1.0000000000000018</v>
      </c>
      <c r="L6" s="13">
        <f>(MasterTable[[#This Row],[End Time Adj]]-MasterTable[[#This Row],[Start Time Adj]])*96</f>
        <v>3.9999999999999964</v>
      </c>
      <c r="M6" s="13">
        <f>(MasterTable[[#This Row],[End Time Adj]]-MasterTable[[#This Row],[Rd Travel ST]])*96</f>
        <v>4.9999999999999982</v>
      </c>
      <c r="N6" s="37">
        <v>6.9444444444444441E-3</v>
      </c>
      <c r="O6" s="13" t="s">
        <v>33</v>
      </c>
      <c r="P6" s="35">
        <f>MasterTable[[#This Row],[Daily E HL2]]/4</f>
        <v>0.99999999999999911</v>
      </c>
      <c r="Q6" s="13"/>
      <c r="R6" t="s">
        <v>97</v>
      </c>
      <c r="S6" s="14">
        <v>45272</v>
      </c>
      <c r="T6" s="1">
        <v>0.52708333333333335</v>
      </c>
    </row>
    <row r="7" spans="1:20">
      <c r="A7" s="13" t="s">
        <v>46</v>
      </c>
      <c r="B7" t="s">
        <v>37</v>
      </c>
      <c r="C7" s="14" t="s">
        <v>47</v>
      </c>
      <c r="D7" s="14">
        <v>45251</v>
      </c>
      <c r="E7" s="16">
        <v>0.55763888888888891</v>
      </c>
      <c r="F7" s="16">
        <v>0.56874999999999998</v>
      </c>
      <c r="G7" s="16">
        <f>MROUND(MasterTable[[#This Row],[Start Time]],"0:15")</f>
        <v>0.5625</v>
      </c>
      <c r="H7" s="16">
        <f>MROUND(MasterTable[[#This Row],[End Time]], "0:15")</f>
        <v>0.57291666666666663</v>
      </c>
      <c r="I7" s="16">
        <f>MasterTable[[#This Row],[Start Time]]-MasterTable[[#This Row],[Travel Time]]</f>
        <v>0.54722222222222228</v>
      </c>
      <c r="J7" s="16">
        <f>MROUND(MasterTable[[#This Row],[Travel ST]], "0:15")</f>
        <v>0.55208333333333326</v>
      </c>
      <c r="K7" s="13">
        <f>(MasterTable[[#This Row],[Start Time Adj]]-MasterTable[[#This Row],[Rd Travel ST]])*96</f>
        <v>1.0000000000000071</v>
      </c>
      <c r="L7" s="13">
        <f>(MasterTable[[#This Row],[End Time Adj]]-MasterTable[[#This Row],[Start Time Adj]])*96</f>
        <v>0.99999999999999645</v>
      </c>
      <c r="M7" s="13">
        <f>(MasterTable[[#This Row],[End Time Adj]]-MasterTable[[#This Row],[Rd Travel ST]])*96</f>
        <v>2.0000000000000036</v>
      </c>
      <c r="N7" s="37">
        <v>1.0416666666666666E-2</v>
      </c>
      <c r="O7" s="13" t="s">
        <v>33</v>
      </c>
      <c r="P7" s="35">
        <f>MasterTable[[#This Row],[Daily E HL2]]/4</f>
        <v>0.24999999999999911</v>
      </c>
      <c r="Q7" s="13"/>
      <c r="R7" t="s">
        <v>206</v>
      </c>
      <c r="S7" s="14">
        <v>45265</v>
      </c>
      <c r="T7" s="1">
        <v>0.99930555555555556</v>
      </c>
    </row>
    <row r="8" spans="1:20">
      <c r="A8" s="13" t="s">
        <v>58</v>
      </c>
      <c r="B8" t="s">
        <v>37</v>
      </c>
      <c r="C8" s="14" t="s">
        <v>47</v>
      </c>
      <c r="D8" s="14">
        <v>45252</v>
      </c>
      <c r="E8" s="16">
        <v>0.29236111111111113</v>
      </c>
      <c r="F8" s="16">
        <v>0.37083333333333335</v>
      </c>
      <c r="G8" s="16">
        <f>MROUND(MasterTable[[#This Row],[Start Time]],"0:15")</f>
        <v>0.29166666666666663</v>
      </c>
      <c r="H8" s="16">
        <f>MROUND(MasterTable[[#This Row],[End Time]], "0:15")</f>
        <v>0.375</v>
      </c>
      <c r="I8" s="16">
        <f>MasterTable[[#This Row],[Start Time]]-MasterTable[[#This Row],[Travel Time]]</f>
        <v>0.28750000000000003</v>
      </c>
      <c r="J8" s="16">
        <f>MROUND(MasterTable[[#This Row],[Travel ST]], "0:15")</f>
        <v>0.29166666666666663</v>
      </c>
      <c r="K8" s="13">
        <f>(MasterTable[[#This Row],[Start Time Adj]]-MasterTable[[#This Row],[Rd Travel ST]])*96</f>
        <v>0</v>
      </c>
      <c r="L8" s="13">
        <f>(MasterTable[[#This Row],[End Time Adj]]-MasterTable[[#This Row],[Start Time Adj]])*96</f>
        <v>8.0000000000000036</v>
      </c>
      <c r="M8" s="13">
        <f>(MasterTable[[#This Row],[End Time Adj]]-MasterTable[[#This Row],[Rd Travel ST]])*96</f>
        <v>8.0000000000000036</v>
      </c>
      <c r="N8" s="37">
        <v>4.8611111111111112E-3</v>
      </c>
      <c r="O8" s="13" t="s">
        <v>33</v>
      </c>
      <c r="P8" s="35">
        <f>MasterTable[[#This Row],[Daily E HL2]]/4</f>
        <v>2.0000000000000009</v>
      </c>
      <c r="R8" t="s">
        <v>207</v>
      </c>
      <c r="S8" s="14">
        <v>45265</v>
      </c>
      <c r="T8" s="1">
        <v>0.99930555555555556</v>
      </c>
    </row>
    <row r="9" spans="1:20">
      <c r="A9" s="13" t="s">
        <v>51</v>
      </c>
      <c r="B9" t="s">
        <v>40</v>
      </c>
      <c r="C9" s="14" t="s">
        <v>52</v>
      </c>
      <c r="D9" s="14">
        <v>45253</v>
      </c>
      <c r="E9" s="16">
        <v>0.4458333333333333</v>
      </c>
      <c r="F9" s="16">
        <v>0.47500000000000003</v>
      </c>
      <c r="G9" s="16">
        <f>MROUND(MasterTable[[#This Row],[Start Time]],"0:15")</f>
        <v>0.44791666666666663</v>
      </c>
      <c r="H9" s="16">
        <f>MROUND(MasterTable[[#This Row],[End Time]], "0:15")</f>
        <v>0.47916666666666663</v>
      </c>
      <c r="I9" s="16">
        <f>MasterTable[[#This Row],[Start Time]]-MasterTable[[#This Row],[Travel Time]]</f>
        <v>0.43194444444444441</v>
      </c>
      <c r="J9" s="16">
        <f>MROUND(MasterTable[[#This Row],[Travel ST]], "0:15")</f>
        <v>0.42708333333333331</v>
      </c>
      <c r="K9" s="13">
        <f>(MasterTable[[#This Row],[Start Time Adj]]-MasterTable[[#This Row],[Rd Travel ST]])*96</f>
        <v>1.9999999999999982</v>
      </c>
      <c r="L9" s="13">
        <f>(MasterTable[[#This Row],[End Time Adj]]-MasterTable[[#This Row],[Start Time Adj]])*96</f>
        <v>3</v>
      </c>
      <c r="M9" s="13">
        <f>(MasterTable[[#This Row],[End Time Adj]]-MasterTable[[#This Row],[Rd Travel ST]])*96</f>
        <v>4.9999999999999982</v>
      </c>
      <c r="N9" s="37">
        <v>1.3888888888888888E-2</v>
      </c>
      <c r="O9" s="13" t="s">
        <v>33</v>
      </c>
      <c r="P9" s="35">
        <f>MasterTable[[#This Row],[Daily E HL2]]/4</f>
        <v>0.75</v>
      </c>
      <c r="S9" s="14"/>
      <c r="T9" s="1"/>
    </row>
    <row r="10" spans="1:20">
      <c r="A10" s="13" t="s">
        <v>45</v>
      </c>
      <c r="B10" t="s">
        <v>18</v>
      </c>
      <c r="C10" s="14" t="s">
        <v>44</v>
      </c>
      <c r="D10" s="14">
        <v>45253</v>
      </c>
      <c r="E10" s="16">
        <v>0.86319444444444438</v>
      </c>
      <c r="F10" s="16">
        <v>0.87986111111111109</v>
      </c>
      <c r="G10" s="16">
        <f>MROUND(MasterTable[[#This Row],[Start Time]],"0:15")</f>
        <v>0.86458333333333326</v>
      </c>
      <c r="H10" s="16">
        <f>MROUND(MasterTable[[#This Row],[End Time]], "0:15")</f>
        <v>0.875</v>
      </c>
      <c r="I10" s="16">
        <f>MasterTable[[#This Row],[Start Time]]-MasterTable[[#This Row],[Travel Time]]</f>
        <v>0.84652777777777766</v>
      </c>
      <c r="J10" s="16">
        <f>MROUND(MasterTable[[#This Row],[Travel ST]], "0:15")</f>
        <v>0.84375</v>
      </c>
      <c r="K10" s="13">
        <f>(MasterTable[[#This Row],[Start Time Adj]]-MasterTable[[#This Row],[Rd Travel ST]])*96</f>
        <v>1.9999999999999929</v>
      </c>
      <c r="L10" s="13">
        <f>(MasterTable[[#This Row],[End Time Adj]]-MasterTable[[#This Row],[Start Time Adj]])*96</f>
        <v>1.0000000000000071</v>
      </c>
      <c r="M10" s="13">
        <f>(MasterTable[[#This Row],[End Time Adj]]-MasterTable[[#This Row],[Rd Travel ST]])*96</f>
        <v>3</v>
      </c>
      <c r="N10" s="37">
        <v>1.6666666666666666E-2</v>
      </c>
      <c r="O10" s="13" t="s">
        <v>33</v>
      </c>
      <c r="P10" s="35">
        <f>MasterTable[[#This Row],[Daily E HL2]]/4</f>
        <v>0.25000000000000178</v>
      </c>
      <c r="S10" s="14"/>
      <c r="T10" s="21"/>
    </row>
    <row r="11" spans="1:20">
      <c r="A11" s="13" t="s">
        <v>38</v>
      </c>
      <c r="B11" t="s">
        <v>39</v>
      </c>
      <c r="C11" t="s">
        <v>32</v>
      </c>
      <c r="D11" s="14">
        <v>45253</v>
      </c>
      <c r="E11" s="16">
        <v>0.77222222222222225</v>
      </c>
      <c r="F11" s="16">
        <v>0.82500000000000007</v>
      </c>
      <c r="G11" s="16">
        <f>MROUND(MasterTable[[#This Row],[Start Time]],"0:15")</f>
        <v>0.77083333333333326</v>
      </c>
      <c r="H11" s="16">
        <f>MROUND(MasterTable[[#This Row],[End Time]], "0:15")</f>
        <v>0.82291666666666663</v>
      </c>
      <c r="I11" s="16">
        <f>MasterTable[[#This Row],[Start Time]]-MasterTable[[#This Row],[Travel Time]]</f>
        <v>0.75833333333333341</v>
      </c>
      <c r="J11" s="16">
        <f>MROUND(MasterTable[[#This Row],[Travel ST]], "0:15")</f>
        <v>0.76041666666666663</v>
      </c>
      <c r="K11" s="13">
        <f>(MasterTable[[#This Row],[Start Time Adj]]-MasterTable[[#This Row],[Rd Travel ST]])*96</f>
        <v>0.99999999999999645</v>
      </c>
      <c r="L11" s="13">
        <f>(MasterTable[[#This Row],[End Time Adj]]-MasterTable[[#This Row],[Start Time Adj]])*96</f>
        <v>5.0000000000000036</v>
      </c>
      <c r="M11" s="13">
        <f>(MasterTable[[#This Row],[End Time Adj]]-MasterTable[[#This Row],[Rd Travel ST]])*96</f>
        <v>6</v>
      </c>
      <c r="N11" s="37">
        <v>1.3888888888888888E-2</v>
      </c>
      <c r="O11" s="13" t="s">
        <v>33</v>
      </c>
      <c r="P11" s="35">
        <f>MasterTable[[#This Row],[Daily E HL2]]/4</f>
        <v>1.2500000000000009</v>
      </c>
    </row>
    <row r="12" spans="1:20">
      <c r="A12" s="13" t="s">
        <v>48</v>
      </c>
      <c r="B12" t="s">
        <v>49</v>
      </c>
      <c r="C12" s="14" t="s">
        <v>50</v>
      </c>
      <c r="D12" s="14">
        <v>45253</v>
      </c>
      <c r="E12" s="16">
        <v>0.4826388888888889</v>
      </c>
      <c r="F12" s="16">
        <v>0.50347222222222221</v>
      </c>
      <c r="G12" s="16">
        <f>MROUND(MasterTable[[#This Row],[Start Time]],"0:15")</f>
        <v>0.47916666666666663</v>
      </c>
      <c r="H12" s="16">
        <f>MROUND(MasterTable[[#This Row],[End Time]], "0:15")</f>
        <v>0.5</v>
      </c>
      <c r="I12" s="16">
        <f>MasterTable[[#This Row],[Start Time]]-MasterTable[[#This Row],[Travel Time]]</f>
        <v>0.46388888888888891</v>
      </c>
      <c r="J12" s="16">
        <f>MROUND(MasterTable[[#This Row],[Travel ST]], "0:15")</f>
        <v>0.46875</v>
      </c>
      <c r="K12" s="13">
        <f>(MasterTable[[#This Row],[Start Time Adj]]-MasterTable[[#This Row],[Rd Travel ST]])*96</f>
        <v>0.99999999999999645</v>
      </c>
      <c r="L12" s="13">
        <f>(MasterTable[[#This Row],[End Time Adj]]-MasterTable[[#This Row],[Start Time Adj]])*96</f>
        <v>2.0000000000000036</v>
      </c>
      <c r="M12" s="13">
        <f>(MasterTable[[#This Row],[End Time Adj]]-MasterTable[[#This Row],[Rd Travel ST]])*96</f>
        <v>3</v>
      </c>
      <c r="N12" s="37">
        <v>1.8749999999999999E-2</v>
      </c>
      <c r="O12" s="13" t="s">
        <v>33</v>
      </c>
      <c r="P12" s="35">
        <f>MasterTable[[#This Row],[Daily E HL2]]/4</f>
        <v>0.50000000000000089</v>
      </c>
    </row>
    <row r="13" spans="1:20">
      <c r="A13" s="13" t="s">
        <v>41</v>
      </c>
      <c r="B13" t="s">
        <v>37</v>
      </c>
      <c r="C13" s="14" t="s">
        <v>44</v>
      </c>
      <c r="D13" s="14">
        <v>45254</v>
      </c>
      <c r="E13" s="16">
        <v>0.77222222222222225</v>
      </c>
      <c r="F13" s="16">
        <v>0.82500000000000007</v>
      </c>
      <c r="G13" s="16">
        <f>MROUND(MasterTable[[#This Row],[Start Time]],"0:15")</f>
        <v>0.77083333333333326</v>
      </c>
      <c r="H13" s="16">
        <f>MROUND(MasterTable[[#This Row],[End Time]], "0:15")</f>
        <v>0.82291666666666663</v>
      </c>
      <c r="I13" s="16">
        <f>MasterTable[[#This Row],[Start Time]]-MasterTable[[#This Row],[Travel Time]]</f>
        <v>0.76527777777777783</v>
      </c>
      <c r="J13" s="16">
        <f>MROUND(MasterTable[[#This Row],[Travel ST]], "0:15")</f>
        <v>0.76041666666666663</v>
      </c>
      <c r="K13" s="13">
        <f>(MasterTable[[#This Row],[Start Time Adj]]-MasterTable[[#This Row],[Rd Travel ST]])*96</f>
        <v>0.99999999999999645</v>
      </c>
      <c r="L13" s="13">
        <f>(MasterTable[[#This Row],[End Time Adj]]-MasterTable[[#This Row],[Start Time Adj]])*96</f>
        <v>5.0000000000000036</v>
      </c>
      <c r="M13" s="13">
        <f>(MasterTable[[#This Row],[End Time Adj]]-MasterTable[[#This Row],[Rd Travel ST]])*96</f>
        <v>6</v>
      </c>
      <c r="N13" s="37">
        <v>6.9444444444444441E-3</v>
      </c>
      <c r="O13" s="13" t="s">
        <v>33</v>
      </c>
      <c r="P13" s="35">
        <f>MasterTable[[#This Row],[Daily E HL2]]/4</f>
        <v>1.2500000000000009</v>
      </c>
    </row>
    <row r="14" spans="1:20">
      <c r="A14" s="13" t="s">
        <v>59</v>
      </c>
      <c r="B14" t="s">
        <v>37</v>
      </c>
      <c r="C14" s="14" t="s">
        <v>32</v>
      </c>
      <c r="D14" s="14">
        <v>45284</v>
      </c>
      <c r="E14" s="16">
        <v>0.29236111111111113</v>
      </c>
      <c r="F14" s="16">
        <v>0.37083333333333335</v>
      </c>
      <c r="G14" s="16">
        <f>MROUND(MasterTable[[#This Row],[Start Time]],"0:15")</f>
        <v>0.29166666666666663</v>
      </c>
      <c r="H14" s="16">
        <f>MROUND(MasterTable[[#This Row],[End Time]], "0:15")</f>
        <v>0.375</v>
      </c>
      <c r="I14" s="16">
        <f>MasterTable[[#This Row],[Start Time]]-MasterTable[[#This Row],[Travel Time]]</f>
        <v>0.28750000000000003</v>
      </c>
      <c r="J14" s="16">
        <f>MROUND(MasterTable[[#This Row],[Travel ST]], "0:15")</f>
        <v>0.29166666666666663</v>
      </c>
      <c r="K14" s="13">
        <f>(MasterTable[[#This Row],[Start Time Adj]]-MasterTable[[#This Row],[Rd Travel ST]])*96</f>
        <v>0</v>
      </c>
      <c r="L14" s="13">
        <f>(MasterTable[[#This Row],[End Time Adj]]-MasterTable[[#This Row],[Start Time Adj]])*96</f>
        <v>8.0000000000000036</v>
      </c>
      <c r="M14" s="13">
        <f>(MasterTable[[#This Row],[End Time Adj]]-MasterTable[[#This Row],[Rd Travel ST]])*96</f>
        <v>8.0000000000000036</v>
      </c>
      <c r="N14" s="37">
        <v>4.8611111111111112E-3</v>
      </c>
      <c r="O14" s="13" t="s">
        <v>33</v>
      </c>
      <c r="P14" s="35">
        <f>MasterTable[[#This Row],[Daily E HL2]]/4</f>
        <v>2.0000000000000009</v>
      </c>
    </row>
    <row r="15" spans="1:20">
      <c r="A15" s="13" t="s">
        <v>93</v>
      </c>
      <c r="B15" t="s">
        <v>94</v>
      </c>
      <c r="C15" s="14" t="s">
        <v>44</v>
      </c>
      <c r="D15" s="14">
        <v>45286</v>
      </c>
      <c r="E15" s="16">
        <v>0.70694444444444438</v>
      </c>
      <c r="F15" s="16">
        <v>0.73125000000000007</v>
      </c>
      <c r="G15" s="16">
        <f>MROUND(MasterTable[[#This Row],[Start Time]],"0:15")</f>
        <v>0.70833333333333326</v>
      </c>
      <c r="H15" s="16">
        <f>MROUND(MasterTable[[#This Row],[End Time]], "0:15")</f>
        <v>0.72916666666666663</v>
      </c>
      <c r="I15" s="16">
        <f>MasterTable[[#This Row],[Start Time]]-MasterTable[[#This Row],[Travel Time]]</f>
        <v>0.70347222222222217</v>
      </c>
      <c r="J15" s="16">
        <f>MROUND(MasterTable[[#This Row],[Travel ST]], "0:15")</f>
        <v>0.70833333333333326</v>
      </c>
      <c r="K15" s="13">
        <f>(MasterTable[[#This Row],[Start Time Adj]]-MasterTable[[#This Row],[Rd Travel ST]])*96</f>
        <v>0</v>
      </c>
      <c r="L15" s="13">
        <f>(MasterTable[[#This Row],[End Time Adj]]-MasterTable[[#This Row],[Start Time Adj]])*96</f>
        <v>2.0000000000000036</v>
      </c>
      <c r="M15" s="13">
        <f>(MasterTable[[#This Row],[End Time Adj]]-MasterTable[[#This Row],[Rd Travel ST]])*96</f>
        <v>2.0000000000000036</v>
      </c>
      <c r="N15" s="37">
        <v>3.472222222222222E-3</v>
      </c>
      <c r="O15" s="13" t="s">
        <v>33</v>
      </c>
      <c r="P15" s="35">
        <f>MasterTable[[#This Row],[Daily E HL2]]/4</f>
        <v>0.50000000000000089</v>
      </c>
    </row>
    <row r="16" spans="1:20">
      <c r="A16" s="13" t="s">
        <v>119</v>
      </c>
      <c r="B16" t="s">
        <v>49</v>
      </c>
      <c r="C16" s="14" t="s">
        <v>32</v>
      </c>
      <c r="D16" s="14">
        <v>45264</v>
      </c>
      <c r="E16" s="16">
        <v>0.88680555555555562</v>
      </c>
      <c r="F16" s="16">
        <v>0.90486111111111101</v>
      </c>
      <c r="G16" s="16">
        <f>MROUND(MasterTable[[#This Row],[Start Time]],"0:15")</f>
        <v>0.88541666666666663</v>
      </c>
      <c r="H16" s="16">
        <f>MROUND(MasterTable[[#This Row],[End Time]], "0:15")</f>
        <v>0.90625</v>
      </c>
      <c r="I16" s="16">
        <f>MasterTable[[#This Row],[Start Time]]-MasterTable[[#This Row],[Travel Time]]</f>
        <v>0.87500000000000011</v>
      </c>
      <c r="J16" s="16">
        <f>MROUND(MasterTable[[#This Row],[Travel ST]], "0:15")</f>
        <v>0.875</v>
      </c>
      <c r="K16" s="13">
        <f>(MasterTable[[#This Row],[Start Time Adj]]-MasterTable[[#This Row],[Rd Travel ST]])*96</f>
        <v>0.99999999999999645</v>
      </c>
      <c r="L16" s="13">
        <f>(MasterTable[[#This Row],[End Time Adj]]-MasterTable[[#This Row],[Start Time Adj]])*96</f>
        <v>2.0000000000000036</v>
      </c>
      <c r="M16" s="13">
        <f>(MasterTable[[#This Row],[End Time Adj]]-MasterTable[[#This Row],[Rd Travel ST]])*96</f>
        <v>3</v>
      </c>
      <c r="N16" s="37">
        <v>1.1805555555555555E-2</v>
      </c>
      <c r="O16" s="13" t="s">
        <v>33</v>
      </c>
      <c r="P16" s="35">
        <f>MasterTable[[#This Row],[Daily E HL2]]/4</f>
        <v>0.50000000000000089</v>
      </c>
    </row>
    <row r="17" spans="1:19">
      <c r="A17" s="13" t="s">
        <v>109</v>
      </c>
      <c r="B17" t="s">
        <v>110</v>
      </c>
      <c r="C17" s="14" t="s">
        <v>32</v>
      </c>
      <c r="D17" s="14">
        <v>45280</v>
      </c>
      <c r="E17" s="16">
        <v>0.77222222222222225</v>
      </c>
      <c r="F17" s="16">
        <v>0.82500000000000007</v>
      </c>
      <c r="G17" s="16">
        <f>MROUND(MasterTable[[#This Row],[Start Time]],"0:15")</f>
        <v>0.77083333333333326</v>
      </c>
      <c r="H17" s="16">
        <f>MROUND(MasterTable[[#This Row],[End Time]], "0:15")</f>
        <v>0.82291666666666663</v>
      </c>
      <c r="I17" s="16">
        <f>MasterTable[[#This Row],[Start Time]]-MasterTable[[#This Row],[Travel Time]]</f>
        <v>0.76527777777777783</v>
      </c>
      <c r="J17" s="16">
        <f>MROUND(MasterTable[[#This Row],[Travel ST]], "0:15")</f>
        <v>0.76041666666666663</v>
      </c>
      <c r="K17" s="13">
        <f>(MasterTable[[#This Row],[Start Time Adj]]-MasterTable[[#This Row],[Rd Travel ST]])*96</f>
        <v>0.99999999999999645</v>
      </c>
      <c r="L17" s="13">
        <f>(MasterTable[[#This Row],[End Time Adj]]-MasterTable[[#This Row],[Start Time Adj]])*96</f>
        <v>5.0000000000000036</v>
      </c>
      <c r="M17" s="13">
        <f>(MasterTable[[#This Row],[End Time Adj]]-MasterTable[[#This Row],[Rd Travel ST]])*96</f>
        <v>6</v>
      </c>
      <c r="N17" s="37">
        <v>6.9444444444444441E-3</v>
      </c>
      <c r="O17" s="13" t="s">
        <v>33</v>
      </c>
      <c r="P17" s="35">
        <f>MasterTable[[#This Row],[Daily E HL2]]/4</f>
        <v>1.2500000000000009</v>
      </c>
    </row>
    <row r="18" spans="1:19">
      <c r="A18" s="13" t="s">
        <v>112</v>
      </c>
      <c r="B18" t="s">
        <v>18</v>
      </c>
      <c r="C18" s="14" t="s">
        <v>32</v>
      </c>
      <c r="D18" s="14">
        <v>45280</v>
      </c>
      <c r="E18" s="16">
        <v>0.4680555555555555</v>
      </c>
      <c r="F18" s="16">
        <v>0.53749999999999998</v>
      </c>
      <c r="G18" s="16">
        <f>MROUND(MasterTable[[#This Row],[Start Time]],"0:15")</f>
        <v>0.46875</v>
      </c>
      <c r="H18" s="16">
        <f>MROUND(MasterTable[[#This Row],[End Time]], "0:15")</f>
        <v>0.54166666666666663</v>
      </c>
      <c r="I18" s="16">
        <f>MasterTable[[#This Row],[Start Time]]-MasterTable[[#This Row],[Travel Time]]</f>
        <v>0.45277777777777772</v>
      </c>
      <c r="J18" s="16">
        <f>MROUND(MasterTable[[#This Row],[Travel ST]], "0:15")</f>
        <v>0.44791666666666663</v>
      </c>
      <c r="K18" s="13">
        <f>(MasterTable[[#This Row],[Start Time Adj]]-MasterTable[[#This Row],[Rd Travel ST]])*96</f>
        <v>2.0000000000000036</v>
      </c>
      <c r="L18" s="13">
        <f>(MasterTable[[#This Row],[End Time Adj]]-MasterTable[[#This Row],[Start Time Adj]])*96</f>
        <v>6.9999999999999964</v>
      </c>
      <c r="M18" s="13">
        <f>(MasterTable[[#This Row],[End Time Adj]]-MasterTable[[#This Row],[Rd Travel ST]])*96</f>
        <v>9</v>
      </c>
      <c r="N18" s="37">
        <v>1.5277777777777777E-2</v>
      </c>
      <c r="O18" s="13" t="s">
        <v>33</v>
      </c>
      <c r="P18" s="35">
        <f>MasterTable[[#This Row],[Daily E HL2]]/4</f>
        <v>1.7499999999999991</v>
      </c>
    </row>
    <row r="19" spans="1:19">
      <c r="A19" s="13" t="s">
        <v>111</v>
      </c>
      <c r="B19" t="s">
        <v>18</v>
      </c>
      <c r="C19" s="14" t="s">
        <v>32</v>
      </c>
      <c r="D19" s="14">
        <v>45282</v>
      </c>
      <c r="E19" s="16">
        <v>0.4597222222222222</v>
      </c>
      <c r="F19" s="16">
        <v>0.50902777777777775</v>
      </c>
      <c r="G19" s="16">
        <f>MROUND(MasterTable[[#This Row],[Start Time]],"0:15")</f>
        <v>0.45833333333333331</v>
      </c>
      <c r="H19" s="16">
        <f>MROUND(MasterTable[[#This Row],[End Time]], "0:15")</f>
        <v>0.51041666666666663</v>
      </c>
      <c r="I19" s="16">
        <f>MasterTable[[#This Row],[Start Time]]-MasterTable[[#This Row],[Travel Time]]</f>
        <v>0.45208333333333334</v>
      </c>
      <c r="J19" s="16">
        <f>MROUND(MasterTable[[#This Row],[Travel ST]], "0:15")</f>
        <v>0.44791666666666663</v>
      </c>
      <c r="K19" s="13">
        <f>(MasterTable[[#This Row],[Start Time Adj]]-MasterTable[[#This Row],[Rd Travel ST]])*96</f>
        <v>1.0000000000000018</v>
      </c>
      <c r="L19" s="13">
        <f>(MasterTable[[#This Row],[End Time Adj]]-MasterTable[[#This Row],[Start Time Adj]])*96</f>
        <v>4.9999999999999982</v>
      </c>
      <c r="M19" s="13">
        <f>(MasterTable[[#This Row],[End Time Adj]]-MasterTable[[#This Row],[Rd Travel ST]])*96</f>
        <v>6</v>
      </c>
      <c r="N19" s="37">
        <v>7.6388888888888886E-3</v>
      </c>
      <c r="O19" s="13" t="s">
        <v>33</v>
      </c>
      <c r="P19" s="35">
        <f>MasterTable[[#This Row],[Daily E HL2]]/4</f>
        <v>1.2499999999999996</v>
      </c>
    </row>
    <row r="20" spans="1:19">
      <c r="A20" s="13" t="s">
        <v>118</v>
      </c>
      <c r="B20" t="s">
        <v>110</v>
      </c>
      <c r="C20" s="14" t="s">
        <v>32</v>
      </c>
      <c r="D20" s="14">
        <v>45284</v>
      </c>
      <c r="E20" s="16">
        <v>0.33124999999999999</v>
      </c>
      <c r="F20" s="16">
        <v>0.38611111111111113</v>
      </c>
      <c r="G20" s="16">
        <f>MROUND(MasterTable[[#This Row],[Start Time]],"0:15")</f>
        <v>0.33333333333333331</v>
      </c>
      <c r="H20" s="16">
        <f>MROUND(MasterTable[[#This Row],[End Time]], "0:15")</f>
        <v>0.38541666666666663</v>
      </c>
      <c r="I20" s="16">
        <f>MasterTable[[#This Row],[Start Time]]-MasterTable[[#This Row],[Travel Time]]</f>
        <v>0.32013888888888886</v>
      </c>
      <c r="J20" s="16">
        <f>MROUND(MasterTable[[#This Row],[Travel ST]], "0:15")</f>
        <v>0.32291666666666663</v>
      </c>
      <c r="K20" s="13">
        <f>(MasterTable[[#This Row],[Start Time Adj]]-MasterTable[[#This Row],[Rd Travel ST]])*96</f>
        <v>1.0000000000000018</v>
      </c>
      <c r="L20" s="13">
        <f>(MasterTable[[#This Row],[End Time Adj]]-MasterTable[[#This Row],[Start Time Adj]])*96</f>
        <v>4.9999999999999982</v>
      </c>
      <c r="M20" s="13">
        <f>(MasterTable[[#This Row],[End Time Adj]]-MasterTable[[#This Row],[Rd Travel ST]])*96</f>
        <v>6</v>
      </c>
      <c r="N20" s="37">
        <v>1.1111111111111112E-2</v>
      </c>
      <c r="O20" s="13" t="s">
        <v>33</v>
      </c>
      <c r="P20" s="35">
        <f>MasterTable[[#This Row],[Daily E HL2]]/4</f>
        <v>1.2499999999999996</v>
      </c>
      <c r="R20" s="14"/>
      <c r="S20" s="21"/>
    </row>
    <row r="21" spans="1:19">
      <c r="A21" s="13" t="s">
        <v>114</v>
      </c>
      <c r="B21" t="s">
        <v>18</v>
      </c>
      <c r="C21" s="14" t="s">
        <v>32</v>
      </c>
      <c r="D21" s="14">
        <v>45284</v>
      </c>
      <c r="E21" s="16">
        <v>0.4680555555555555</v>
      </c>
      <c r="F21" s="16">
        <v>0.53749999999999998</v>
      </c>
      <c r="G21" s="16">
        <f>MROUND(MasterTable[[#This Row],[Start Time]],"0:15")</f>
        <v>0.46875</v>
      </c>
      <c r="H21" s="16">
        <f>MROUND(MasterTable[[#This Row],[End Time]], "0:15")</f>
        <v>0.54166666666666663</v>
      </c>
      <c r="I21" s="16">
        <f>MasterTable[[#This Row],[Start Time]]-MasterTable[[#This Row],[Travel Time]]</f>
        <v>0.45277777777777772</v>
      </c>
      <c r="J21" s="16">
        <f>MROUND(MasterTable[[#This Row],[Travel ST]], "0:15")</f>
        <v>0.44791666666666663</v>
      </c>
      <c r="K21" s="13">
        <f>(MasterTable[[#This Row],[Start Time Adj]]-MasterTable[[#This Row],[Rd Travel ST]])*96</f>
        <v>2.0000000000000036</v>
      </c>
      <c r="L21" s="13">
        <f>(MasterTable[[#This Row],[End Time Adj]]-MasterTable[[#This Row],[Start Time Adj]])*96</f>
        <v>6.9999999999999964</v>
      </c>
      <c r="M21" s="13">
        <f>(MasterTable[[#This Row],[End Time Adj]]-MasterTable[[#This Row],[Rd Travel ST]])*96</f>
        <v>9</v>
      </c>
      <c r="N21" s="37">
        <v>1.5277777777777777E-2</v>
      </c>
      <c r="O21" s="13" t="s">
        <v>33</v>
      </c>
      <c r="P21" s="35">
        <f>MasterTable[[#This Row],[Daily E HL2]]/4</f>
        <v>1.7499999999999991</v>
      </c>
    </row>
    <row r="22" spans="1:19">
      <c r="A22" s="13" t="s">
        <v>115</v>
      </c>
      <c r="B22" t="s">
        <v>18</v>
      </c>
      <c r="C22" s="14" t="s">
        <v>32</v>
      </c>
      <c r="D22" s="14">
        <v>45286</v>
      </c>
      <c r="E22" s="16">
        <v>0.4680555555555555</v>
      </c>
      <c r="F22" s="16">
        <v>0.53749999999999998</v>
      </c>
      <c r="G22" s="16">
        <f>MROUND(MasterTable[[#This Row],[Start Time]],"0:15")</f>
        <v>0.46875</v>
      </c>
      <c r="H22" s="16">
        <f>MROUND(MasterTable[[#This Row],[End Time]], "0:15")</f>
        <v>0.54166666666666663</v>
      </c>
      <c r="I22" s="16">
        <f>MasterTable[[#This Row],[Start Time]]-MasterTable[[#This Row],[Travel Time]]</f>
        <v>0.45277777777777772</v>
      </c>
      <c r="J22" s="16">
        <f>MROUND(MasterTable[[#This Row],[Travel ST]], "0:15")</f>
        <v>0.44791666666666663</v>
      </c>
      <c r="K22" s="13">
        <f>(MasterTable[[#This Row],[Start Time Adj]]-MasterTable[[#This Row],[Rd Travel ST]])*96</f>
        <v>2.0000000000000036</v>
      </c>
      <c r="L22" s="13">
        <f>(MasterTable[[#This Row],[End Time Adj]]-MasterTable[[#This Row],[Start Time Adj]])*96</f>
        <v>6.9999999999999964</v>
      </c>
      <c r="M22" s="13">
        <f>(MasterTable[[#This Row],[End Time Adj]]-MasterTable[[#This Row],[Rd Travel ST]])*96</f>
        <v>9</v>
      </c>
      <c r="N22" s="37">
        <v>1.5277777777777777E-2</v>
      </c>
      <c r="O22" s="13" t="s">
        <v>33</v>
      </c>
      <c r="P22" s="35">
        <f>MasterTable[[#This Row],[Daily E HL2]]/4</f>
        <v>1.7499999999999991</v>
      </c>
    </row>
    <row r="23" spans="1:19">
      <c r="A23" s="13" t="s">
        <v>116</v>
      </c>
      <c r="B23" t="s">
        <v>18</v>
      </c>
      <c r="C23" s="14" t="s">
        <v>32</v>
      </c>
      <c r="D23" s="14">
        <v>45288</v>
      </c>
      <c r="E23" s="16">
        <v>0.4680555555555555</v>
      </c>
      <c r="F23" s="16">
        <v>0.53749999999999998</v>
      </c>
      <c r="G23" s="16">
        <f>MROUND(MasterTable[[#This Row],[Start Time]],"0:15")</f>
        <v>0.46875</v>
      </c>
      <c r="H23" s="16">
        <f>MROUND(MasterTable[[#This Row],[End Time]], "0:15")</f>
        <v>0.54166666666666663</v>
      </c>
      <c r="I23" s="16">
        <f>MasterTable[[#This Row],[Start Time]]-MasterTable[[#This Row],[Travel Time]]</f>
        <v>0.45277777777777772</v>
      </c>
      <c r="J23" s="16">
        <f>MROUND(MasterTable[[#This Row],[Travel ST]], "0:15")</f>
        <v>0.44791666666666663</v>
      </c>
      <c r="K23" s="13">
        <f>(MasterTable[[#This Row],[Start Time Adj]]-MasterTable[[#This Row],[Rd Travel ST]])*96</f>
        <v>2.0000000000000036</v>
      </c>
      <c r="L23" s="13">
        <f>(MasterTable[[#This Row],[End Time Adj]]-MasterTable[[#This Row],[Start Time Adj]])*96</f>
        <v>6.9999999999999964</v>
      </c>
      <c r="M23" s="13">
        <f>(MasterTable[[#This Row],[End Time Adj]]-MasterTable[[#This Row],[Rd Travel ST]])*96</f>
        <v>9</v>
      </c>
      <c r="N23" s="37">
        <v>1.5277777777777777E-2</v>
      </c>
      <c r="O23" s="13" t="s">
        <v>33</v>
      </c>
      <c r="P23" s="35">
        <f>MasterTable[[#This Row],[Daily E HL2]]/4</f>
        <v>1.7499999999999991</v>
      </c>
    </row>
    <row r="24" spans="1:19">
      <c r="A24" s="13" t="s">
        <v>123</v>
      </c>
      <c r="B24" t="s">
        <v>110</v>
      </c>
      <c r="C24" s="14" t="s">
        <v>32</v>
      </c>
      <c r="D24" s="14">
        <v>45309</v>
      </c>
      <c r="E24" s="16">
        <v>0.77222222222222225</v>
      </c>
      <c r="F24" s="16">
        <v>0.82500000000000007</v>
      </c>
      <c r="G24" s="16">
        <f>MROUND(MasterTable[[#This Row],[Start Time]],"0:15")</f>
        <v>0.77083333333333326</v>
      </c>
      <c r="H24" s="16">
        <f>MROUND(MasterTable[[#This Row],[End Time]], "0:15")</f>
        <v>0.82291666666666663</v>
      </c>
      <c r="I24" s="16">
        <f>MasterTable[[#This Row],[Start Time]]-MasterTable[[#This Row],[Travel Time]]</f>
        <v>0.76111111111111118</v>
      </c>
      <c r="J24" s="16">
        <f>MROUND(MasterTable[[#This Row],[Travel ST]], "0:15")</f>
        <v>0.76041666666666663</v>
      </c>
      <c r="K24" s="13">
        <f>(MasterTable[[#This Row],[Start Time Adj]]-MasterTable[[#This Row],[Rd Travel ST]])*96</f>
        <v>0.99999999999999645</v>
      </c>
      <c r="L24" s="13">
        <f>(MasterTable[[#This Row],[End Time Adj]]-MasterTable[[#This Row],[Start Time Adj]])*96</f>
        <v>5.0000000000000036</v>
      </c>
      <c r="M24" s="13">
        <f>(MasterTable[[#This Row],[End Time Adj]]-MasterTable[[#This Row],[Rd Travel ST]])*96</f>
        <v>6</v>
      </c>
      <c r="N24" s="37">
        <v>1.1111111111111112E-2</v>
      </c>
      <c r="O24" s="13" t="s">
        <v>33</v>
      </c>
      <c r="P24" s="35">
        <f>MasterTable[[#This Row],[Daily E HL2]]/4</f>
        <v>1.2500000000000009</v>
      </c>
    </row>
    <row r="25" spans="1:19">
      <c r="A25" s="13" t="s">
        <v>124</v>
      </c>
      <c r="B25" t="s">
        <v>110</v>
      </c>
      <c r="C25" s="14" t="s">
        <v>32</v>
      </c>
      <c r="D25" s="14">
        <v>45339</v>
      </c>
      <c r="E25" s="16">
        <v>0.77222222222222225</v>
      </c>
      <c r="F25" s="16">
        <v>0.82500000000000007</v>
      </c>
      <c r="G25" s="16">
        <f>MROUND(MasterTable[[#This Row],[Start Time]],"0:15")</f>
        <v>0.77083333333333326</v>
      </c>
      <c r="H25" s="16">
        <f>MROUND(MasterTable[[#This Row],[End Time]], "0:15")</f>
        <v>0.82291666666666663</v>
      </c>
      <c r="I25" s="16">
        <f>MasterTable[[#This Row],[Start Time]]-MasterTable[[#This Row],[Travel Time]]</f>
        <v>0.76111111111111118</v>
      </c>
      <c r="J25" s="16">
        <f>MROUND(MasterTable[[#This Row],[Travel ST]], "0:15")</f>
        <v>0.76041666666666663</v>
      </c>
      <c r="K25" s="13">
        <f>(MasterTable[[#This Row],[Start Time Adj]]-MasterTable[[#This Row],[Rd Travel ST]])*96</f>
        <v>0.99999999999999645</v>
      </c>
      <c r="L25" s="13">
        <f>(MasterTable[[#This Row],[End Time Adj]]-MasterTable[[#This Row],[Start Time Adj]])*96</f>
        <v>5.0000000000000036</v>
      </c>
      <c r="M25" s="13">
        <f>(MasterTable[[#This Row],[End Time Adj]]-MasterTable[[#This Row],[Rd Travel ST]])*96</f>
        <v>6</v>
      </c>
      <c r="N25" s="37">
        <v>1.1111111111111112E-2</v>
      </c>
      <c r="O25" s="13" t="s">
        <v>33</v>
      </c>
      <c r="P25" s="35">
        <f>MasterTable[[#This Row],[Daily E HL2]]/4</f>
        <v>1.2500000000000009</v>
      </c>
    </row>
    <row r="26" spans="1:19">
      <c r="A26" s="13" t="s">
        <v>125</v>
      </c>
      <c r="B26" t="s">
        <v>110</v>
      </c>
      <c r="C26" s="14" t="s">
        <v>32</v>
      </c>
      <c r="D26" s="14">
        <v>45369</v>
      </c>
      <c r="E26" s="16">
        <v>0.77222222222222225</v>
      </c>
      <c r="F26" s="16">
        <v>0.82500000000000007</v>
      </c>
      <c r="G26" s="16">
        <f>MROUND(MasterTable[[#This Row],[Start Time]],"0:15")</f>
        <v>0.77083333333333326</v>
      </c>
      <c r="H26" s="16">
        <f>MROUND(MasterTable[[#This Row],[End Time]], "0:15")</f>
        <v>0.82291666666666663</v>
      </c>
      <c r="I26" s="16">
        <f>MasterTable[[#This Row],[Start Time]]-MasterTable[[#This Row],[Travel Time]]</f>
        <v>0.76111111111111118</v>
      </c>
      <c r="J26" s="16">
        <f>MROUND(MasterTable[[#This Row],[Travel ST]], "0:15")</f>
        <v>0.76041666666666663</v>
      </c>
      <c r="K26" s="13">
        <f>(MasterTable[[#This Row],[Start Time Adj]]-MasterTable[[#This Row],[Rd Travel ST]])*96</f>
        <v>0.99999999999999645</v>
      </c>
      <c r="L26" s="13">
        <f>(MasterTable[[#This Row],[End Time Adj]]-MasterTable[[#This Row],[Start Time Adj]])*96</f>
        <v>5.0000000000000036</v>
      </c>
      <c r="M26" s="13">
        <f>(MasterTable[[#This Row],[End Time Adj]]-MasterTable[[#This Row],[Rd Travel ST]])*96</f>
        <v>6</v>
      </c>
      <c r="N26" s="37">
        <v>1.1111111111111112E-2</v>
      </c>
      <c r="O26" s="13" t="s">
        <v>33</v>
      </c>
      <c r="P26" s="35">
        <f>MasterTable[[#This Row],[Daily E HL2]]/4</f>
        <v>1.2500000000000009</v>
      </c>
    </row>
    <row r="27" spans="1:19">
      <c r="A27" s="13" t="s">
        <v>126</v>
      </c>
      <c r="B27" t="s">
        <v>110</v>
      </c>
      <c r="C27" s="14" t="s">
        <v>32</v>
      </c>
      <c r="D27" s="14">
        <v>45399</v>
      </c>
      <c r="E27" s="16">
        <v>0.77222222222222225</v>
      </c>
      <c r="F27" s="16">
        <v>0.82500000000000007</v>
      </c>
      <c r="G27" s="16">
        <f>MROUND(MasterTable[[#This Row],[Start Time]],"0:15")</f>
        <v>0.77083333333333326</v>
      </c>
      <c r="H27" s="16">
        <f>MROUND(MasterTable[[#This Row],[End Time]], "0:15")</f>
        <v>0.82291666666666663</v>
      </c>
      <c r="I27" s="16">
        <f>MasterTable[[#This Row],[Start Time]]-MasterTable[[#This Row],[Travel Time]]</f>
        <v>0.76111111111111118</v>
      </c>
      <c r="J27" s="16">
        <f>MROUND(MasterTable[[#This Row],[Travel ST]], "0:15")</f>
        <v>0.76041666666666663</v>
      </c>
      <c r="K27" s="13">
        <f>(MasterTable[[#This Row],[Start Time Adj]]-MasterTable[[#This Row],[Rd Travel ST]])*96</f>
        <v>0.99999999999999645</v>
      </c>
      <c r="L27" s="13">
        <f>(MasterTable[[#This Row],[End Time Adj]]-MasterTable[[#This Row],[Start Time Adj]])*96</f>
        <v>5.0000000000000036</v>
      </c>
      <c r="M27" s="13">
        <f>(MasterTable[[#This Row],[End Time Adj]]-MasterTable[[#This Row],[Rd Travel ST]])*96</f>
        <v>6</v>
      </c>
      <c r="N27" s="37">
        <v>1.1111111111111112E-2</v>
      </c>
      <c r="O27" s="13" t="s">
        <v>33</v>
      </c>
      <c r="P27" s="35">
        <f>MasterTable[[#This Row],[Daily E HL2]]/4</f>
        <v>1.2500000000000009</v>
      </c>
    </row>
    <row r="28" spans="1:19">
      <c r="A28" s="13" t="s">
        <v>127</v>
      </c>
      <c r="B28" t="s">
        <v>110</v>
      </c>
      <c r="C28" s="14" t="s">
        <v>32</v>
      </c>
      <c r="D28" s="14">
        <v>45429</v>
      </c>
      <c r="E28" s="16">
        <v>0.77222222222222225</v>
      </c>
      <c r="F28" s="16">
        <v>0.82500000000000007</v>
      </c>
      <c r="G28" s="16">
        <f>MROUND(MasterTable[[#This Row],[Start Time]],"0:15")</f>
        <v>0.77083333333333326</v>
      </c>
      <c r="H28" s="16">
        <f>MROUND(MasterTable[[#This Row],[End Time]], "0:15")</f>
        <v>0.82291666666666663</v>
      </c>
      <c r="I28" s="16">
        <f>MasterTable[[#This Row],[Start Time]]-MasterTable[[#This Row],[Travel Time]]</f>
        <v>0.76111111111111118</v>
      </c>
      <c r="J28" s="16">
        <f>MROUND(MasterTable[[#This Row],[Travel ST]], "0:15")</f>
        <v>0.76041666666666663</v>
      </c>
      <c r="K28" s="13">
        <f>(MasterTable[[#This Row],[Start Time Adj]]-MasterTable[[#This Row],[Rd Travel ST]])*96</f>
        <v>0.99999999999999645</v>
      </c>
      <c r="L28" s="13">
        <f>(MasterTable[[#This Row],[End Time Adj]]-MasterTable[[#This Row],[Start Time Adj]])*96</f>
        <v>5.0000000000000036</v>
      </c>
      <c r="M28" s="13">
        <f>(MasterTable[[#This Row],[End Time Adj]]-MasterTable[[#This Row],[Rd Travel ST]])*96</f>
        <v>6</v>
      </c>
      <c r="N28" s="37">
        <v>1.1111111111111112E-2</v>
      </c>
      <c r="O28" s="13" t="s">
        <v>33</v>
      </c>
      <c r="P28" s="35">
        <f>MasterTable[[#This Row],[Daily E HL2]]/4</f>
        <v>1.2500000000000009</v>
      </c>
    </row>
    <row r="29" spans="1:19">
      <c r="A29" s="13" t="s">
        <v>128</v>
      </c>
      <c r="B29" t="s">
        <v>110</v>
      </c>
      <c r="C29" s="14" t="s">
        <v>32</v>
      </c>
      <c r="D29" s="14">
        <v>45459</v>
      </c>
      <c r="E29" s="16">
        <v>0.77222222222222225</v>
      </c>
      <c r="F29" s="16">
        <v>0.82500000000000007</v>
      </c>
      <c r="G29" s="16">
        <f>MROUND(MasterTable[[#This Row],[Start Time]],"0:15")</f>
        <v>0.77083333333333326</v>
      </c>
      <c r="H29" s="16">
        <f>MROUND(MasterTable[[#This Row],[End Time]], "0:15")</f>
        <v>0.82291666666666663</v>
      </c>
      <c r="I29" s="16">
        <f>MasterTable[[#This Row],[Start Time]]-MasterTable[[#This Row],[Travel Time]]</f>
        <v>0.76111111111111118</v>
      </c>
      <c r="J29" s="16">
        <f>MROUND(MasterTable[[#This Row],[Travel ST]], "0:15")</f>
        <v>0.76041666666666663</v>
      </c>
      <c r="K29" s="13">
        <f>(MasterTable[[#This Row],[Start Time Adj]]-MasterTable[[#This Row],[Rd Travel ST]])*96</f>
        <v>0.99999999999999645</v>
      </c>
      <c r="L29" s="13">
        <f>(MasterTable[[#This Row],[End Time Adj]]-MasterTable[[#This Row],[Start Time Adj]])*96</f>
        <v>5.0000000000000036</v>
      </c>
      <c r="M29" s="13">
        <f>(MasterTable[[#This Row],[End Time Adj]]-MasterTable[[#This Row],[Rd Travel ST]])*96</f>
        <v>6</v>
      </c>
      <c r="N29" s="37">
        <v>1.1111111111111112E-2</v>
      </c>
      <c r="O29" s="13" t="s">
        <v>33</v>
      </c>
      <c r="P29" s="35">
        <f>MasterTable[[#This Row],[Daily E HL2]]/4</f>
        <v>1.2500000000000009</v>
      </c>
    </row>
    <row r="30" spans="1:19">
      <c r="A30" s="13" t="s">
        <v>129</v>
      </c>
      <c r="B30" t="s">
        <v>110</v>
      </c>
      <c r="C30" s="14" t="s">
        <v>32</v>
      </c>
      <c r="D30" s="14">
        <v>45489</v>
      </c>
      <c r="E30" s="16">
        <v>0.77222222222222225</v>
      </c>
      <c r="F30" s="16">
        <v>0.82500000000000007</v>
      </c>
      <c r="G30" s="16">
        <f>MROUND(MasterTable[[#This Row],[Start Time]],"0:15")</f>
        <v>0.77083333333333326</v>
      </c>
      <c r="H30" s="16">
        <f>MROUND(MasterTable[[#This Row],[End Time]], "0:15")</f>
        <v>0.82291666666666663</v>
      </c>
      <c r="I30" s="16">
        <f>MasterTable[[#This Row],[Start Time]]-MasterTable[[#This Row],[Travel Time]]</f>
        <v>0.76111111111111118</v>
      </c>
      <c r="J30" s="16">
        <f>MROUND(MasterTable[[#This Row],[Travel ST]], "0:15")</f>
        <v>0.76041666666666663</v>
      </c>
      <c r="K30" s="13">
        <f>(MasterTable[[#This Row],[Start Time Adj]]-MasterTable[[#This Row],[Rd Travel ST]])*96</f>
        <v>0.99999999999999645</v>
      </c>
      <c r="L30" s="13">
        <f>(MasterTable[[#This Row],[End Time Adj]]-MasterTable[[#This Row],[Start Time Adj]])*96</f>
        <v>5.0000000000000036</v>
      </c>
      <c r="M30" s="13">
        <f>(MasterTable[[#This Row],[End Time Adj]]-MasterTable[[#This Row],[Rd Travel ST]])*96</f>
        <v>6</v>
      </c>
      <c r="N30" s="37">
        <v>1.1111111111111112E-2</v>
      </c>
      <c r="O30" s="13" t="s">
        <v>33</v>
      </c>
      <c r="P30" s="35">
        <f>MasterTable[[#This Row],[Daily E HL2]]/4</f>
        <v>1.2500000000000009</v>
      </c>
    </row>
    <row r="31" spans="1:19">
      <c r="A31" s="13" t="s">
        <v>130</v>
      </c>
      <c r="B31" t="s">
        <v>110</v>
      </c>
      <c r="C31" s="14" t="s">
        <v>32</v>
      </c>
      <c r="D31" s="14">
        <v>45519</v>
      </c>
      <c r="E31" s="16">
        <v>0.77222222222222225</v>
      </c>
      <c r="F31" s="16">
        <v>0.82500000000000007</v>
      </c>
      <c r="G31" s="16">
        <f>MROUND(MasterTable[[#This Row],[Start Time]],"0:15")</f>
        <v>0.77083333333333326</v>
      </c>
      <c r="H31" s="16">
        <f>MROUND(MasterTable[[#This Row],[End Time]], "0:15")</f>
        <v>0.82291666666666663</v>
      </c>
      <c r="I31" s="16">
        <f>MasterTable[[#This Row],[Start Time]]-MasterTable[[#This Row],[Travel Time]]</f>
        <v>0.76111111111111118</v>
      </c>
      <c r="J31" s="16">
        <f>MROUND(MasterTable[[#This Row],[Travel ST]], "0:15")</f>
        <v>0.76041666666666663</v>
      </c>
      <c r="K31" s="13">
        <f>(MasterTable[[#This Row],[Start Time Adj]]-MasterTable[[#This Row],[Rd Travel ST]])*96</f>
        <v>0.99999999999999645</v>
      </c>
      <c r="L31" s="13">
        <f>(MasterTable[[#This Row],[End Time Adj]]-MasterTable[[#This Row],[Start Time Adj]])*96</f>
        <v>5.0000000000000036</v>
      </c>
      <c r="M31" s="13">
        <f>(MasterTable[[#This Row],[End Time Adj]]-MasterTable[[#This Row],[Rd Travel ST]])*96</f>
        <v>6</v>
      </c>
      <c r="N31" s="37">
        <v>1.1111111111111112E-2</v>
      </c>
      <c r="O31" s="13" t="s">
        <v>33</v>
      </c>
      <c r="P31" s="35">
        <f>MasterTable[[#This Row],[Daily E HL2]]/4</f>
        <v>1.2500000000000009</v>
      </c>
    </row>
    <row r="32" spans="1:19">
      <c r="A32" s="13" t="s">
        <v>131</v>
      </c>
      <c r="B32" t="s">
        <v>110</v>
      </c>
      <c r="C32" s="14" t="s">
        <v>32</v>
      </c>
      <c r="D32" s="14">
        <v>45549</v>
      </c>
      <c r="E32" s="16">
        <v>0.77222222222222225</v>
      </c>
      <c r="F32" s="16">
        <v>0.82500000000000007</v>
      </c>
      <c r="G32" s="16">
        <f>MROUND(MasterTable[[#This Row],[Start Time]],"0:15")</f>
        <v>0.77083333333333326</v>
      </c>
      <c r="H32" s="16">
        <f>MROUND(MasterTable[[#This Row],[End Time]], "0:15")</f>
        <v>0.82291666666666663</v>
      </c>
      <c r="I32" s="16">
        <f>MasterTable[[#This Row],[Start Time]]-MasterTable[[#This Row],[Travel Time]]</f>
        <v>0.76111111111111118</v>
      </c>
      <c r="J32" s="16">
        <f>MROUND(MasterTable[[#This Row],[Travel ST]], "0:15")</f>
        <v>0.76041666666666663</v>
      </c>
      <c r="K32" s="13">
        <f>(MasterTable[[#This Row],[Start Time Adj]]-MasterTable[[#This Row],[Rd Travel ST]])*96</f>
        <v>0.99999999999999645</v>
      </c>
      <c r="L32" s="13">
        <f>(MasterTable[[#This Row],[End Time Adj]]-MasterTable[[#This Row],[Start Time Adj]])*96</f>
        <v>5.0000000000000036</v>
      </c>
      <c r="M32" s="13">
        <f>(MasterTable[[#This Row],[End Time Adj]]-MasterTable[[#This Row],[Rd Travel ST]])*96</f>
        <v>6</v>
      </c>
      <c r="N32" s="37">
        <v>1.1111111111111112E-2</v>
      </c>
      <c r="O32" s="13" t="s">
        <v>33</v>
      </c>
      <c r="P32" s="35">
        <f>MasterTable[[#This Row],[Daily E HL2]]/4</f>
        <v>1.2500000000000009</v>
      </c>
    </row>
    <row r="33" spans="1:16">
      <c r="A33" s="13" t="s">
        <v>132</v>
      </c>
      <c r="B33" t="s">
        <v>110</v>
      </c>
      <c r="C33" s="14" t="s">
        <v>32</v>
      </c>
      <c r="D33" s="14">
        <v>45579</v>
      </c>
      <c r="E33" s="16">
        <v>0.77222222222222225</v>
      </c>
      <c r="F33" s="16">
        <v>0.82500000000000007</v>
      </c>
      <c r="G33" s="16">
        <f>MROUND(MasterTable[[#This Row],[Start Time]],"0:15")</f>
        <v>0.77083333333333326</v>
      </c>
      <c r="H33" s="16">
        <f>MROUND(MasterTable[[#This Row],[End Time]], "0:15")</f>
        <v>0.82291666666666663</v>
      </c>
      <c r="I33" s="16">
        <f>MasterTable[[#This Row],[Start Time]]-MasterTable[[#This Row],[Travel Time]]</f>
        <v>0.76111111111111118</v>
      </c>
      <c r="J33" s="16">
        <f>MROUND(MasterTable[[#This Row],[Travel ST]], "0:15")</f>
        <v>0.76041666666666663</v>
      </c>
      <c r="K33" s="13">
        <f>(MasterTable[[#This Row],[Start Time Adj]]-MasterTable[[#This Row],[Rd Travel ST]])*96</f>
        <v>0.99999999999999645</v>
      </c>
      <c r="L33" s="13">
        <f>(MasterTable[[#This Row],[End Time Adj]]-MasterTable[[#This Row],[Start Time Adj]])*96</f>
        <v>5.0000000000000036</v>
      </c>
      <c r="M33" s="13">
        <f>(MasterTable[[#This Row],[End Time Adj]]-MasterTable[[#This Row],[Rd Travel ST]])*96</f>
        <v>6</v>
      </c>
      <c r="N33" s="37">
        <v>1.1111111111111112E-2</v>
      </c>
      <c r="O33" s="13" t="s">
        <v>33</v>
      </c>
      <c r="P33" s="35">
        <f>MasterTable[[#This Row],[Daily E HL2]]/4</f>
        <v>1.2500000000000009</v>
      </c>
    </row>
    <row r="34" spans="1:16">
      <c r="A34" s="13" t="s">
        <v>133</v>
      </c>
      <c r="B34" t="s">
        <v>110</v>
      </c>
      <c r="C34" s="14" t="s">
        <v>32</v>
      </c>
      <c r="D34" s="14">
        <v>45609</v>
      </c>
      <c r="E34" s="16">
        <v>0.77222222222222225</v>
      </c>
      <c r="F34" s="16">
        <v>0.82500000000000007</v>
      </c>
      <c r="G34" s="16">
        <f>MROUND(MasterTable[[#This Row],[Start Time]],"0:15")</f>
        <v>0.77083333333333326</v>
      </c>
      <c r="H34" s="16">
        <f>MROUND(MasterTable[[#This Row],[End Time]], "0:15")</f>
        <v>0.82291666666666663</v>
      </c>
      <c r="I34" s="16">
        <f>MasterTable[[#This Row],[Start Time]]-MasterTable[[#This Row],[Travel Time]]</f>
        <v>0.76111111111111118</v>
      </c>
      <c r="J34" s="16">
        <f>MROUND(MasterTable[[#This Row],[Travel ST]], "0:15")</f>
        <v>0.76041666666666663</v>
      </c>
      <c r="K34" s="13">
        <f>(MasterTable[[#This Row],[Start Time Adj]]-MasterTable[[#This Row],[Rd Travel ST]])*96</f>
        <v>0.99999999999999645</v>
      </c>
      <c r="L34" s="13">
        <f>(MasterTable[[#This Row],[End Time Adj]]-MasterTable[[#This Row],[Start Time Adj]])*96</f>
        <v>5.0000000000000036</v>
      </c>
      <c r="M34" s="13">
        <f>(MasterTable[[#This Row],[End Time Adj]]-MasterTable[[#This Row],[Rd Travel ST]])*96</f>
        <v>6</v>
      </c>
      <c r="N34" s="37">
        <v>1.1111111111111112E-2</v>
      </c>
      <c r="O34" s="13" t="s">
        <v>33</v>
      </c>
      <c r="P34" s="35">
        <f>MasterTable[[#This Row],[Daily E HL2]]/4</f>
        <v>1.2500000000000009</v>
      </c>
    </row>
    <row r="35" spans="1:16">
      <c r="A35" s="13" t="s">
        <v>134</v>
      </c>
      <c r="B35" t="s">
        <v>110</v>
      </c>
      <c r="C35" s="14" t="s">
        <v>32</v>
      </c>
      <c r="D35" s="14">
        <v>45639</v>
      </c>
      <c r="E35" s="16">
        <v>0.77222222222222225</v>
      </c>
      <c r="F35" s="16">
        <v>0.82500000000000007</v>
      </c>
      <c r="G35" s="16">
        <f>MROUND(MasterTable[[#This Row],[Start Time]],"0:15")</f>
        <v>0.77083333333333326</v>
      </c>
      <c r="H35" s="16">
        <f>MROUND(MasterTable[[#This Row],[End Time]], "0:15")</f>
        <v>0.82291666666666663</v>
      </c>
      <c r="I35" s="16">
        <f>MasterTable[[#This Row],[Start Time]]-MasterTable[[#This Row],[Travel Time]]</f>
        <v>0.76111111111111118</v>
      </c>
      <c r="J35" s="16">
        <f>MROUND(MasterTable[[#This Row],[Travel ST]], "0:15")</f>
        <v>0.76041666666666663</v>
      </c>
      <c r="K35" s="13">
        <f>(MasterTable[[#This Row],[Start Time Adj]]-MasterTable[[#This Row],[Rd Travel ST]])*96</f>
        <v>0.99999999999999645</v>
      </c>
      <c r="L35" s="13">
        <f>(MasterTable[[#This Row],[End Time Adj]]-MasterTable[[#This Row],[Start Time Adj]])*96</f>
        <v>5.0000000000000036</v>
      </c>
      <c r="M35" s="13">
        <f>(MasterTable[[#This Row],[End Time Adj]]-MasterTable[[#This Row],[Rd Travel ST]])*96</f>
        <v>6</v>
      </c>
      <c r="N35" s="37">
        <v>1.1111111111111112E-2</v>
      </c>
      <c r="O35" s="13" t="s">
        <v>33</v>
      </c>
      <c r="P35" s="35">
        <f>MasterTable[[#This Row],[Daily E HL2]]/4</f>
        <v>1.2500000000000009</v>
      </c>
    </row>
    <row r="36" spans="1:16">
      <c r="A36" s="13" t="s">
        <v>135</v>
      </c>
      <c r="B36" t="s">
        <v>110</v>
      </c>
      <c r="C36" s="14" t="s">
        <v>32</v>
      </c>
      <c r="D36" s="14">
        <v>45669</v>
      </c>
      <c r="E36" s="16">
        <v>0.77222222222222225</v>
      </c>
      <c r="F36" s="16">
        <v>0.82500000000000007</v>
      </c>
      <c r="G36" s="16">
        <f>MROUND(MasterTable[[#This Row],[Start Time]],"0:15")</f>
        <v>0.77083333333333326</v>
      </c>
      <c r="H36" s="16">
        <f>MROUND(MasterTable[[#This Row],[End Time]], "0:15")</f>
        <v>0.82291666666666663</v>
      </c>
      <c r="I36" s="16">
        <f>MasterTable[[#This Row],[Start Time]]-MasterTable[[#This Row],[Travel Time]]</f>
        <v>0.76111111111111118</v>
      </c>
      <c r="J36" s="16">
        <f>MROUND(MasterTable[[#This Row],[Travel ST]], "0:15")</f>
        <v>0.76041666666666663</v>
      </c>
      <c r="K36" s="13">
        <f>(MasterTable[[#This Row],[Start Time Adj]]-MasterTable[[#This Row],[Rd Travel ST]])*96</f>
        <v>0.99999999999999645</v>
      </c>
      <c r="L36" s="13">
        <f>(MasterTable[[#This Row],[End Time Adj]]-MasterTable[[#This Row],[Start Time Adj]])*96</f>
        <v>5.0000000000000036</v>
      </c>
      <c r="M36" s="13">
        <f>(MasterTable[[#This Row],[End Time Adj]]-MasterTable[[#This Row],[Rd Travel ST]])*96</f>
        <v>6</v>
      </c>
      <c r="N36" s="37">
        <v>1.1111111111111112E-2</v>
      </c>
      <c r="O36" s="13" t="s">
        <v>33</v>
      </c>
      <c r="P36" s="35">
        <f>MasterTable[[#This Row],[Daily E HL2]]/4</f>
        <v>1.2500000000000009</v>
      </c>
    </row>
    <row r="37" spans="1:16">
      <c r="A37" s="13" t="s">
        <v>136</v>
      </c>
      <c r="B37" t="s">
        <v>110</v>
      </c>
      <c r="C37" s="14" t="s">
        <v>32</v>
      </c>
      <c r="D37" s="14">
        <v>45699</v>
      </c>
      <c r="E37" s="16">
        <v>0.77222222222222225</v>
      </c>
      <c r="F37" s="16">
        <v>0.82500000000000007</v>
      </c>
      <c r="G37" s="16">
        <f>MROUND(MasterTable[[#This Row],[Start Time]],"0:15")</f>
        <v>0.77083333333333326</v>
      </c>
      <c r="H37" s="16">
        <f>MROUND(MasterTable[[#This Row],[End Time]], "0:15")</f>
        <v>0.82291666666666663</v>
      </c>
      <c r="I37" s="16">
        <f>MasterTable[[#This Row],[Start Time]]-MasterTable[[#This Row],[Travel Time]]</f>
        <v>0.76111111111111118</v>
      </c>
      <c r="J37" s="16">
        <f>MROUND(MasterTable[[#This Row],[Travel ST]], "0:15")</f>
        <v>0.76041666666666663</v>
      </c>
      <c r="K37" s="13">
        <f>(MasterTable[[#This Row],[Start Time Adj]]-MasterTable[[#This Row],[Rd Travel ST]])*96</f>
        <v>0.99999999999999645</v>
      </c>
      <c r="L37" s="13">
        <f>(MasterTable[[#This Row],[End Time Adj]]-MasterTable[[#This Row],[Start Time Adj]])*96</f>
        <v>5.0000000000000036</v>
      </c>
      <c r="M37" s="13">
        <f>(MasterTable[[#This Row],[End Time Adj]]-MasterTable[[#This Row],[Rd Travel ST]])*96</f>
        <v>6</v>
      </c>
      <c r="N37" s="37">
        <v>1.1111111111111112E-2</v>
      </c>
      <c r="O37" s="13" t="s">
        <v>33</v>
      </c>
      <c r="P37" s="35">
        <f>MasterTable[[#This Row],[Daily E HL2]]/4</f>
        <v>1.2500000000000009</v>
      </c>
    </row>
    <row r="38" spans="1:16">
      <c r="A38" s="13" t="s">
        <v>137</v>
      </c>
      <c r="B38" t="s">
        <v>110</v>
      </c>
      <c r="C38" s="14" t="s">
        <v>32</v>
      </c>
      <c r="D38" s="14">
        <v>45729</v>
      </c>
      <c r="E38" s="16">
        <v>0.77222222222222225</v>
      </c>
      <c r="F38" s="16">
        <v>0.82500000000000007</v>
      </c>
      <c r="G38" s="16">
        <f>MROUND(MasterTable[[#This Row],[Start Time]],"0:15")</f>
        <v>0.77083333333333326</v>
      </c>
      <c r="H38" s="16">
        <f>MROUND(MasterTable[[#This Row],[End Time]], "0:15")</f>
        <v>0.82291666666666663</v>
      </c>
      <c r="I38" s="16">
        <f>MasterTable[[#This Row],[Start Time]]-MasterTable[[#This Row],[Travel Time]]</f>
        <v>0.76111111111111118</v>
      </c>
      <c r="J38" s="16">
        <f>MROUND(MasterTable[[#This Row],[Travel ST]], "0:15")</f>
        <v>0.76041666666666663</v>
      </c>
      <c r="K38" s="13">
        <f>(MasterTable[[#This Row],[Start Time Adj]]-MasterTable[[#This Row],[Rd Travel ST]])*96</f>
        <v>0.99999999999999645</v>
      </c>
      <c r="L38" s="13">
        <f>(MasterTable[[#This Row],[End Time Adj]]-MasterTable[[#This Row],[Start Time Adj]])*96</f>
        <v>5.0000000000000036</v>
      </c>
      <c r="M38" s="13">
        <f>(MasterTable[[#This Row],[End Time Adj]]-MasterTable[[#This Row],[Rd Travel ST]])*96</f>
        <v>6</v>
      </c>
      <c r="N38" s="37">
        <v>1.1111111111111112E-2</v>
      </c>
      <c r="O38" s="13" t="s">
        <v>33</v>
      </c>
      <c r="P38" s="35">
        <f>MasterTable[[#This Row],[Daily E HL2]]/4</f>
        <v>1.2500000000000009</v>
      </c>
    </row>
    <row r="39" spans="1:16">
      <c r="A39" s="13" t="s">
        <v>138</v>
      </c>
      <c r="B39" t="s">
        <v>110</v>
      </c>
      <c r="C39" s="14" t="s">
        <v>32</v>
      </c>
      <c r="D39" s="14">
        <v>45759</v>
      </c>
      <c r="E39" s="16">
        <v>0.77222222222222225</v>
      </c>
      <c r="F39" s="16">
        <v>0.82500000000000007</v>
      </c>
      <c r="G39" s="16">
        <f>MROUND(MasterTable[[#This Row],[Start Time]],"0:15")</f>
        <v>0.77083333333333326</v>
      </c>
      <c r="H39" s="16">
        <f>MROUND(MasterTable[[#This Row],[End Time]], "0:15")</f>
        <v>0.82291666666666663</v>
      </c>
      <c r="I39" s="16">
        <f>MasterTable[[#This Row],[Start Time]]-MasterTable[[#This Row],[Travel Time]]</f>
        <v>0.76111111111111118</v>
      </c>
      <c r="J39" s="16">
        <f>MROUND(MasterTable[[#This Row],[Travel ST]], "0:15")</f>
        <v>0.76041666666666663</v>
      </c>
      <c r="K39" s="13">
        <f>(MasterTable[[#This Row],[Start Time Adj]]-MasterTable[[#This Row],[Rd Travel ST]])*96</f>
        <v>0.99999999999999645</v>
      </c>
      <c r="L39" s="13">
        <f>(MasterTable[[#This Row],[End Time Adj]]-MasterTable[[#This Row],[Start Time Adj]])*96</f>
        <v>5.0000000000000036</v>
      </c>
      <c r="M39" s="13">
        <f>(MasterTable[[#This Row],[End Time Adj]]-MasterTable[[#This Row],[Rd Travel ST]])*96</f>
        <v>6</v>
      </c>
      <c r="N39" s="37">
        <v>1.1111111111111112E-2</v>
      </c>
      <c r="O39" s="13" t="s">
        <v>33</v>
      </c>
      <c r="P39" s="35">
        <f>MasterTable[[#This Row],[Daily E HL2]]/4</f>
        <v>1.2500000000000009</v>
      </c>
    </row>
    <row r="40" spans="1:16">
      <c r="A40" s="13" t="s">
        <v>139</v>
      </c>
      <c r="B40" t="s">
        <v>110</v>
      </c>
      <c r="C40" s="14" t="s">
        <v>32</v>
      </c>
      <c r="D40" s="14">
        <v>45789</v>
      </c>
      <c r="E40" s="16">
        <v>0.77222222222222225</v>
      </c>
      <c r="F40" s="16">
        <v>0.82500000000000007</v>
      </c>
      <c r="G40" s="16">
        <f>MROUND(MasterTable[[#This Row],[Start Time]],"0:15")</f>
        <v>0.77083333333333326</v>
      </c>
      <c r="H40" s="16">
        <f>MROUND(MasterTable[[#This Row],[End Time]], "0:15")</f>
        <v>0.82291666666666663</v>
      </c>
      <c r="I40" s="16">
        <f>MasterTable[[#This Row],[Start Time]]-MasterTable[[#This Row],[Travel Time]]</f>
        <v>0.76111111111111118</v>
      </c>
      <c r="J40" s="16">
        <f>MROUND(MasterTable[[#This Row],[Travel ST]], "0:15")</f>
        <v>0.76041666666666663</v>
      </c>
      <c r="K40" s="13">
        <f>(MasterTable[[#This Row],[Start Time Adj]]-MasterTable[[#This Row],[Rd Travel ST]])*96</f>
        <v>0.99999999999999645</v>
      </c>
      <c r="L40" s="13">
        <f>(MasterTable[[#This Row],[End Time Adj]]-MasterTable[[#This Row],[Start Time Adj]])*96</f>
        <v>5.0000000000000036</v>
      </c>
      <c r="M40" s="13">
        <f>(MasterTable[[#This Row],[End Time Adj]]-MasterTable[[#This Row],[Rd Travel ST]])*96</f>
        <v>6</v>
      </c>
      <c r="N40" s="37">
        <v>1.1111111111111112E-2</v>
      </c>
      <c r="O40" s="13" t="s">
        <v>33</v>
      </c>
      <c r="P40" s="35">
        <f>MasterTable[[#This Row],[Daily E HL2]]/4</f>
        <v>1.2500000000000009</v>
      </c>
    </row>
    <row r="41" spans="1:16">
      <c r="A41" s="13" t="s">
        <v>140</v>
      </c>
      <c r="B41" t="s">
        <v>110</v>
      </c>
      <c r="C41" s="14" t="s">
        <v>32</v>
      </c>
      <c r="D41" s="14">
        <v>45819</v>
      </c>
      <c r="E41" s="16">
        <v>0.77222222222222225</v>
      </c>
      <c r="F41" s="16">
        <v>0.82500000000000007</v>
      </c>
      <c r="G41" s="16">
        <f>MROUND(MasterTable[[#This Row],[Start Time]],"0:15")</f>
        <v>0.77083333333333326</v>
      </c>
      <c r="H41" s="16">
        <f>MROUND(MasterTable[[#This Row],[End Time]], "0:15")</f>
        <v>0.82291666666666663</v>
      </c>
      <c r="I41" s="16">
        <f>MasterTable[[#This Row],[Start Time]]-MasterTable[[#This Row],[Travel Time]]</f>
        <v>0.76111111111111118</v>
      </c>
      <c r="J41" s="16">
        <f>MROUND(MasterTable[[#This Row],[Travel ST]], "0:15")</f>
        <v>0.76041666666666663</v>
      </c>
      <c r="K41" s="13">
        <f>(MasterTable[[#This Row],[Start Time Adj]]-MasterTable[[#This Row],[Rd Travel ST]])*96</f>
        <v>0.99999999999999645</v>
      </c>
      <c r="L41" s="13">
        <f>(MasterTable[[#This Row],[End Time Adj]]-MasterTable[[#This Row],[Start Time Adj]])*96</f>
        <v>5.0000000000000036</v>
      </c>
      <c r="M41" s="13">
        <f>(MasterTable[[#This Row],[End Time Adj]]-MasterTable[[#This Row],[Rd Travel ST]])*96</f>
        <v>6</v>
      </c>
      <c r="N41" s="37">
        <v>1.1111111111111112E-2</v>
      </c>
      <c r="O41" s="13" t="s">
        <v>33</v>
      </c>
      <c r="P41" s="35">
        <f>MasterTable[[#This Row],[Daily E HL2]]/4</f>
        <v>1.2500000000000009</v>
      </c>
    </row>
    <row r="42" spans="1:16">
      <c r="A42" s="13" t="s">
        <v>141</v>
      </c>
      <c r="B42" t="s">
        <v>110</v>
      </c>
      <c r="C42" s="14" t="s">
        <v>32</v>
      </c>
      <c r="D42" s="14">
        <v>45849</v>
      </c>
      <c r="E42" s="16">
        <v>0.77222222222222225</v>
      </c>
      <c r="F42" s="16">
        <v>0.82500000000000007</v>
      </c>
      <c r="G42" s="16">
        <f>MROUND(MasterTable[[#This Row],[Start Time]],"0:15")</f>
        <v>0.77083333333333326</v>
      </c>
      <c r="H42" s="16">
        <f>MROUND(MasterTable[[#This Row],[End Time]], "0:15")</f>
        <v>0.82291666666666663</v>
      </c>
      <c r="I42" s="16">
        <f>MasterTable[[#This Row],[Start Time]]-MasterTable[[#This Row],[Travel Time]]</f>
        <v>0.76111111111111118</v>
      </c>
      <c r="J42" s="16">
        <f>MROUND(MasterTable[[#This Row],[Travel ST]], "0:15")</f>
        <v>0.76041666666666663</v>
      </c>
      <c r="K42" s="13">
        <f>(MasterTable[[#This Row],[Start Time Adj]]-MasterTable[[#This Row],[Rd Travel ST]])*96</f>
        <v>0.99999999999999645</v>
      </c>
      <c r="L42" s="13">
        <f>(MasterTable[[#This Row],[End Time Adj]]-MasterTable[[#This Row],[Start Time Adj]])*96</f>
        <v>5.0000000000000036</v>
      </c>
      <c r="M42" s="13">
        <f>(MasterTable[[#This Row],[End Time Adj]]-MasterTable[[#This Row],[Rd Travel ST]])*96</f>
        <v>6</v>
      </c>
      <c r="N42" s="37">
        <v>1.1111111111111112E-2</v>
      </c>
      <c r="O42" s="13" t="s">
        <v>33</v>
      </c>
      <c r="P42" s="35">
        <f>MasterTable[[#This Row],[Daily E HL2]]/4</f>
        <v>1.2500000000000009</v>
      </c>
    </row>
    <row r="43" spans="1:16">
      <c r="A43" s="13" t="s">
        <v>142</v>
      </c>
      <c r="B43" t="s">
        <v>110</v>
      </c>
      <c r="C43" s="14" t="s">
        <v>32</v>
      </c>
      <c r="D43" s="14">
        <v>45879</v>
      </c>
      <c r="E43" s="16">
        <v>0.77222222222222225</v>
      </c>
      <c r="F43" s="16">
        <v>0.82500000000000007</v>
      </c>
      <c r="G43" s="16">
        <f>MROUND(MasterTable[[#This Row],[Start Time]],"0:15")</f>
        <v>0.77083333333333326</v>
      </c>
      <c r="H43" s="16">
        <f>MROUND(MasterTable[[#This Row],[End Time]], "0:15")</f>
        <v>0.82291666666666663</v>
      </c>
      <c r="I43" s="16">
        <f>MasterTable[[#This Row],[Start Time]]-MasterTable[[#This Row],[Travel Time]]</f>
        <v>0.76111111111111118</v>
      </c>
      <c r="J43" s="16">
        <f>MROUND(MasterTable[[#This Row],[Travel ST]], "0:15")</f>
        <v>0.76041666666666663</v>
      </c>
      <c r="K43" s="13">
        <f>(MasterTable[[#This Row],[Start Time Adj]]-MasterTable[[#This Row],[Rd Travel ST]])*96</f>
        <v>0.99999999999999645</v>
      </c>
      <c r="L43" s="13">
        <f>(MasterTable[[#This Row],[End Time Adj]]-MasterTable[[#This Row],[Start Time Adj]])*96</f>
        <v>5.0000000000000036</v>
      </c>
      <c r="M43" s="13">
        <f>(MasterTable[[#This Row],[End Time Adj]]-MasterTable[[#This Row],[Rd Travel ST]])*96</f>
        <v>6</v>
      </c>
      <c r="N43" s="37">
        <v>1.1111111111111112E-2</v>
      </c>
      <c r="O43" s="13" t="s">
        <v>33</v>
      </c>
      <c r="P43" s="35">
        <f>MasterTable[[#This Row],[Daily E HL2]]/4</f>
        <v>1.2500000000000009</v>
      </c>
    </row>
    <row r="44" spans="1:16">
      <c r="A44" s="13" t="s">
        <v>143</v>
      </c>
      <c r="B44" t="s">
        <v>110</v>
      </c>
      <c r="C44" s="14" t="s">
        <v>32</v>
      </c>
      <c r="D44" s="14">
        <v>45909</v>
      </c>
      <c r="E44" s="16">
        <v>0.77222222222222225</v>
      </c>
      <c r="F44" s="16">
        <v>0.82500000000000007</v>
      </c>
      <c r="G44" s="16">
        <f>MROUND(MasterTable[[#This Row],[Start Time]],"0:15")</f>
        <v>0.77083333333333326</v>
      </c>
      <c r="H44" s="16">
        <f>MROUND(MasterTable[[#This Row],[End Time]], "0:15")</f>
        <v>0.82291666666666663</v>
      </c>
      <c r="I44" s="16">
        <f>MasterTable[[#This Row],[Start Time]]-MasterTable[[#This Row],[Travel Time]]</f>
        <v>0.76111111111111118</v>
      </c>
      <c r="J44" s="16">
        <f>MROUND(MasterTable[[#This Row],[Travel ST]], "0:15")</f>
        <v>0.76041666666666663</v>
      </c>
      <c r="K44" s="13">
        <f>(MasterTable[[#This Row],[Start Time Adj]]-MasterTable[[#This Row],[Rd Travel ST]])*96</f>
        <v>0.99999999999999645</v>
      </c>
      <c r="L44" s="13">
        <f>(MasterTable[[#This Row],[End Time Adj]]-MasterTable[[#This Row],[Start Time Adj]])*96</f>
        <v>5.0000000000000036</v>
      </c>
      <c r="M44" s="13">
        <f>(MasterTable[[#This Row],[End Time Adj]]-MasterTable[[#This Row],[Rd Travel ST]])*96</f>
        <v>6</v>
      </c>
      <c r="N44" s="37">
        <v>1.1111111111111112E-2</v>
      </c>
      <c r="O44" s="13" t="s">
        <v>33</v>
      </c>
      <c r="P44" s="35">
        <f>MasterTable[[#This Row],[Daily E HL2]]/4</f>
        <v>1.2500000000000009</v>
      </c>
    </row>
    <row r="45" spans="1:16">
      <c r="A45" s="13" t="s">
        <v>144</v>
      </c>
      <c r="B45" t="s">
        <v>110</v>
      </c>
      <c r="C45" s="14" t="s">
        <v>32</v>
      </c>
      <c r="D45" s="14">
        <v>45939</v>
      </c>
      <c r="E45" s="16">
        <v>0.77222222222222225</v>
      </c>
      <c r="F45" s="16">
        <v>0.82500000000000007</v>
      </c>
      <c r="G45" s="16">
        <f>MROUND(MasterTable[[#This Row],[Start Time]],"0:15")</f>
        <v>0.77083333333333326</v>
      </c>
      <c r="H45" s="16">
        <f>MROUND(MasterTable[[#This Row],[End Time]], "0:15")</f>
        <v>0.82291666666666663</v>
      </c>
      <c r="I45" s="16">
        <f>MasterTable[[#This Row],[Start Time]]-MasterTable[[#This Row],[Travel Time]]</f>
        <v>0.76111111111111118</v>
      </c>
      <c r="J45" s="16">
        <f>MROUND(MasterTable[[#This Row],[Travel ST]], "0:15")</f>
        <v>0.76041666666666663</v>
      </c>
      <c r="K45" s="13">
        <f>(MasterTable[[#This Row],[Start Time Adj]]-MasterTable[[#This Row],[Rd Travel ST]])*96</f>
        <v>0.99999999999999645</v>
      </c>
      <c r="L45" s="13">
        <f>(MasterTable[[#This Row],[End Time Adj]]-MasterTable[[#This Row],[Start Time Adj]])*96</f>
        <v>5.0000000000000036</v>
      </c>
      <c r="M45" s="13">
        <f>(MasterTable[[#This Row],[End Time Adj]]-MasterTable[[#This Row],[Rd Travel ST]])*96</f>
        <v>6</v>
      </c>
      <c r="N45" s="37">
        <v>1.1111111111111112E-2</v>
      </c>
      <c r="O45" s="13" t="s">
        <v>33</v>
      </c>
      <c r="P45" s="35">
        <f>MasterTable[[#This Row],[Daily E HL2]]/4</f>
        <v>1.2500000000000009</v>
      </c>
    </row>
    <row r="46" spans="1:16">
      <c r="A46" s="13" t="s">
        <v>145</v>
      </c>
      <c r="B46" t="s">
        <v>110</v>
      </c>
      <c r="C46" s="14" t="s">
        <v>32</v>
      </c>
      <c r="D46" s="14">
        <v>45969</v>
      </c>
      <c r="E46" s="16">
        <v>0.77222222222222225</v>
      </c>
      <c r="F46" s="16">
        <v>0.82500000000000007</v>
      </c>
      <c r="G46" s="16">
        <f>MROUND(MasterTable[[#This Row],[Start Time]],"0:15")</f>
        <v>0.77083333333333326</v>
      </c>
      <c r="H46" s="16">
        <f>MROUND(MasterTable[[#This Row],[End Time]], "0:15")</f>
        <v>0.82291666666666663</v>
      </c>
      <c r="I46" s="16">
        <f>MasterTable[[#This Row],[Start Time]]-MasterTable[[#This Row],[Travel Time]]</f>
        <v>0.76111111111111118</v>
      </c>
      <c r="J46" s="16">
        <f>MROUND(MasterTable[[#This Row],[Travel ST]], "0:15")</f>
        <v>0.76041666666666663</v>
      </c>
      <c r="K46" s="13">
        <f>(MasterTable[[#This Row],[Start Time Adj]]-MasterTable[[#This Row],[Rd Travel ST]])*96</f>
        <v>0.99999999999999645</v>
      </c>
      <c r="L46" s="13">
        <f>(MasterTable[[#This Row],[End Time Adj]]-MasterTable[[#This Row],[Start Time Adj]])*96</f>
        <v>5.0000000000000036</v>
      </c>
      <c r="M46" s="13">
        <f>(MasterTable[[#This Row],[End Time Adj]]-MasterTable[[#This Row],[Rd Travel ST]])*96</f>
        <v>6</v>
      </c>
      <c r="N46" s="37">
        <v>1.1111111111111112E-2</v>
      </c>
      <c r="O46" s="13" t="s">
        <v>33</v>
      </c>
      <c r="P46" s="35">
        <f>MasterTable[[#This Row],[Daily E HL2]]/4</f>
        <v>1.2500000000000009</v>
      </c>
    </row>
    <row r="47" spans="1:16">
      <c r="A47" s="13" t="s">
        <v>146</v>
      </c>
      <c r="B47" t="s">
        <v>110</v>
      </c>
      <c r="C47" s="14" t="s">
        <v>32</v>
      </c>
      <c r="D47" s="14">
        <v>45999</v>
      </c>
      <c r="E47" s="16">
        <v>0.77222222222222225</v>
      </c>
      <c r="F47" s="16">
        <v>0.82500000000000007</v>
      </c>
      <c r="G47" s="16">
        <f>MROUND(MasterTable[[#This Row],[Start Time]],"0:15")</f>
        <v>0.77083333333333326</v>
      </c>
      <c r="H47" s="16">
        <f>MROUND(MasterTable[[#This Row],[End Time]], "0:15")</f>
        <v>0.82291666666666663</v>
      </c>
      <c r="I47" s="16">
        <f>MasterTable[[#This Row],[Start Time]]-MasterTable[[#This Row],[Travel Time]]</f>
        <v>0.76111111111111118</v>
      </c>
      <c r="J47" s="16">
        <f>MROUND(MasterTable[[#This Row],[Travel ST]], "0:15")</f>
        <v>0.76041666666666663</v>
      </c>
      <c r="K47" s="13">
        <f>(MasterTable[[#This Row],[Start Time Adj]]-MasterTable[[#This Row],[Rd Travel ST]])*96</f>
        <v>0.99999999999999645</v>
      </c>
      <c r="L47" s="13">
        <f>(MasterTable[[#This Row],[End Time Adj]]-MasterTable[[#This Row],[Start Time Adj]])*96</f>
        <v>5.0000000000000036</v>
      </c>
      <c r="M47" s="13">
        <f>(MasterTable[[#This Row],[End Time Adj]]-MasterTable[[#This Row],[Rd Travel ST]])*96</f>
        <v>6</v>
      </c>
      <c r="N47" s="37">
        <v>1.1111111111111112E-2</v>
      </c>
      <c r="O47" s="13" t="s">
        <v>33</v>
      </c>
      <c r="P47" s="35">
        <f>MasterTable[[#This Row],[Daily E HL2]]/4</f>
        <v>1.2500000000000009</v>
      </c>
    </row>
    <row r="48" spans="1:16">
      <c r="A48" s="13" t="s">
        <v>147</v>
      </c>
      <c r="B48" t="s">
        <v>110</v>
      </c>
      <c r="C48" s="14" t="s">
        <v>32</v>
      </c>
      <c r="D48" s="14">
        <v>46029</v>
      </c>
      <c r="E48" s="16">
        <v>0.77222222222222225</v>
      </c>
      <c r="F48" s="16">
        <v>0.82500000000000007</v>
      </c>
      <c r="G48" s="16">
        <f>MROUND(MasterTable[[#This Row],[Start Time]],"0:15")</f>
        <v>0.77083333333333326</v>
      </c>
      <c r="H48" s="16">
        <f>MROUND(MasterTable[[#This Row],[End Time]], "0:15")</f>
        <v>0.82291666666666663</v>
      </c>
      <c r="I48" s="16">
        <f>MasterTable[[#This Row],[Start Time]]-MasterTable[[#This Row],[Travel Time]]</f>
        <v>0.76111111111111118</v>
      </c>
      <c r="J48" s="16">
        <f>MROUND(MasterTable[[#This Row],[Travel ST]], "0:15")</f>
        <v>0.76041666666666663</v>
      </c>
      <c r="K48" s="13">
        <f>(MasterTable[[#This Row],[Start Time Adj]]-MasterTable[[#This Row],[Rd Travel ST]])*96</f>
        <v>0.99999999999999645</v>
      </c>
      <c r="L48" s="13">
        <f>(MasterTable[[#This Row],[End Time Adj]]-MasterTable[[#This Row],[Start Time Adj]])*96</f>
        <v>5.0000000000000036</v>
      </c>
      <c r="M48" s="13">
        <f>(MasterTable[[#This Row],[End Time Adj]]-MasterTable[[#This Row],[Rd Travel ST]])*96</f>
        <v>6</v>
      </c>
      <c r="N48" s="37">
        <v>1.1111111111111112E-2</v>
      </c>
      <c r="O48" s="13" t="s">
        <v>33</v>
      </c>
      <c r="P48" s="35">
        <f>MasterTable[[#This Row],[Daily E HL2]]/4</f>
        <v>1.2500000000000009</v>
      </c>
    </row>
    <row r="49" spans="1:16">
      <c r="A49" s="13" t="s">
        <v>148</v>
      </c>
      <c r="B49" t="s">
        <v>110</v>
      </c>
      <c r="C49" s="14" t="s">
        <v>32</v>
      </c>
      <c r="D49" s="14">
        <v>46059</v>
      </c>
      <c r="E49" s="16">
        <v>0.77222222222222225</v>
      </c>
      <c r="F49" s="16">
        <v>0.82500000000000007</v>
      </c>
      <c r="G49" s="16">
        <f>MROUND(MasterTable[[#This Row],[Start Time]],"0:15")</f>
        <v>0.77083333333333326</v>
      </c>
      <c r="H49" s="16">
        <f>MROUND(MasterTable[[#This Row],[End Time]], "0:15")</f>
        <v>0.82291666666666663</v>
      </c>
      <c r="I49" s="16">
        <f>MasterTable[[#This Row],[Start Time]]-MasterTable[[#This Row],[Travel Time]]</f>
        <v>0.76111111111111118</v>
      </c>
      <c r="J49" s="16">
        <f>MROUND(MasterTable[[#This Row],[Travel ST]], "0:15")</f>
        <v>0.76041666666666663</v>
      </c>
      <c r="K49" s="13">
        <f>(MasterTable[[#This Row],[Start Time Adj]]-MasterTable[[#This Row],[Rd Travel ST]])*96</f>
        <v>0.99999999999999645</v>
      </c>
      <c r="L49" s="13">
        <f>(MasterTable[[#This Row],[End Time Adj]]-MasterTable[[#This Row],[Start Time Adj]])*96</f>
        <v>5.0000000000000036</v>
      </c>
      <c r="M49" s="13">
        <f>(MasterTable[[#This Row],[End Time Adj]]-MasterTable[[#This Row],[Rd Travel ST]])*96</f>
        <v>6</v>
      </c>
      <c r="N49" s="37">
        <v>1.1111111111111112E-2</v>
      </c>
      <c r="O49" s="13" t="s">
        <v>33</v>
      </c>
      <c r="P49" s="35">
        <f>MasterTable[[#This Row],[Daily E HL2]]/4</f>
        <v>1.2500000000000009</v>
      </c>
    </row>
    <row r="50" spans="1:16">
      <c r="A50" s="13" t="s">
        <v>149</v>
      </c>
      <c r="B50" t="s">
        <v>110</v>
      </c>
      <c r="C50" s="14" t="s">
        <v>32</v>
      </c>
      <c r="D50" s="14">
        <v>46089</v>
      </c>
      <c r="E50" s="16">
        <v>0.77222222222222225</v>
      </c>
      <c r="F50" s="16">
        <v>0.82500000000000007</v>
      </c>
      <c r="G50" s="16">
        <f>MROUND(MasterTable[[#This Row],[Start Time]],"0:15")</f>
        <v>0.77083333333333326</v>
      </c>
      <c r="H50" s="16">
        <f>MROUND(MasterTable[[#This Row],[End Time]], "0:15")</f>
        <v>0.82291666666666663</v>
      </c>
      <c r="I50" s="16">
        <f>MasterTable[[#This Row],[Start Time]]-MasterTable[[#This Row],[Travel Time]]</f>
        <v>0.76111111111111118</v>
      </c>
      <c r="J50" s="16">
        <f>MROUND(MasterTable[[#This Row],[Travel ST]], "0:15")</f>
        <v>0.76041666666666663</v>
      </c>
      <c r="K50" s="13">
        <f>(MasterTable[[#This Row],[Start Time Adj]]-MasterTable[[#This Row],[Rd Travel ST]])*96</f>
        <v>0.99999999999999645</v>
      </c>
      <c r="L50" s="13">
        <f>(MasterTable[[#This Row],[End Time Adj]]-MasterTable[[#This Row],[Start Time Adj]])*96</f>
        <v>5.0000000000000036</v>
      </c>
      <c r="M50" s="13">
        <f>(MasterTable[[#This Row],[End Time Adj]]-MasterTable[[#This Row],[Rd Travel ST]])*96</f>
        <v>6</v>
      </c>
      <c r="N50" s="37">
        <v>1.1111111111111112E-2</v>
      </c>
      <c r="O50" s="13" t="s">
        <v>33</v>
      </c>
      <c r="P50" s="35">
        <f>MasterTable[[#This Row],[Daily E HL2]]/4</f>
        <v>1.2500000000000009</v>
      </c>
    </row>
    <row r="51" spans="1:16">
      <c r="A51" s="13" t="s">
        <v>150</v>
      </c>
      <c r="B51" t="s">
        <v>110</v>
      </c>
      <c r="C51" s="14" t="s">
        <v>32</v>
      </c>
      <c r="D51" s="14">
        <v>46119</v>
      </c>
      <c r="E51" s="16">
        <v>0.77222222222222225</v>
      </c>
      <c r="F51" s="16">
        <v>0.82500000000000007</v>
      </c>
      <c r="G51" s="16">
        <f>MROUND(MasterTable[[#This Row],[Start Time]],"0:15")</f>
        <v>0.77083333333333326</v>
      </c>
      <c r="H51" s="16">
        <f>MROUND(MasterTable[[#This Row],[End Time]], "0:15")</f>
        <v>0.82291666666666663</v>
      </c>
      <c r="I51" s="16">
        <f>MasterTable[[#This Row],[Start Time]]-MasterTable[[#This Row],[Travel Time]]</f>
        <v>0.76111111111111118</v>
      </c>
      <c r="J51" s="16">
        <f>MROUND(MasterTable[[#This Row],[Travel ST]], "0:15")</f>
        <v>0.76041666666666663</v>
      </c>
      <c r="K51" s="13">
        <f>(MasterTable[[#This Row],[Start Time Adj]]-MasterTable[[#This Row],[Rd Travel ST]])*96</f>
        <v>0.99999999999999645</v>
      </c>
      <c r="L51" s="13">
        <f>(MasterTable[[#This Row],[End Time Adj]]-MasterTable[[#This Row],[Start Time Adj]])*96</f>
        <v>5.0000000000000036</v>
      </c>
      <c r="M51" s="13">
        <f>(MasterTable[[#This Row],[End Time Adj]]-MasterTable[[#This Row],[Rd Travel ST]])*96</f>
        <v>6</v>
      </c>
      <c r="N51" s="37">
        <v>1.1111111111111112E-2</v>
      </c>
      <c r="O51" s="13" t="s">
        <v>33</v>
      </c>
      <c r="P51" s="35">
        <f>MasterTable[[#This Row],[Daily E HL2]]/4</f>
        <v>1.2500000000000009</v>
      </c>
    </row>
    <row r="52" spans="1:16">
      <c r="A52" s="13" t="s">
        <v>151</v>
      </c>
      <c r="B52" t="s">
        <v>110</v>
      </c>
      <c r="C52" s="14" t="s">
        <v>32</v>
      </c>
      <c r="D52" s="14">
        <v>46149</v>
      </c>
      <c r="E52" s="16">
        <v>0.77222222222222225</v>
      </c>
      <c r="F52" s="16">
        <v>0.82500000000000007</v>
      </c>
      <c r="G52" s="16">
        <f>MROUND(MasterTable[[#This Row],[Start Time]],"0:15")</f>
        <v>0.77083333333333326</v>
      </c>
      <c r="H52" s="16">
        <f>MROUND(MasterTable[[#This Row],[End Time]], "0:15")</f>
        <v>0.82291666666666663</v>
      </c>
      <c r="I52" s="16">
        <f>MasterTable[[#This Row],[Start Time]]-MasterTable[[#This Row],[Travel Time]]</f>
        <v>0.76111111111111118</v>
      </c>
      <c r="J52" s="16">
        <f>MROUND(MasterTable[[#This Row],[Travel ST]], "0:15")</f>
        <v>0.76041666666666663</v>
      </c>
      <c r="K52" s="13">
        <f>(MasterTable[[#This Row],[Start Time Adj]]-MasterTable[[#This Row],[Rd Travel ST]])*96</f>
        <v>0.99999999999999645</v>
      </c>
      <c r="L52" s="13">
        <f>(MasterTable[[#This Row],[End Time Adj]]-MasterTable[[#This Row],[Start Time Adj]])*96</f>
        <v>5.0000000000000036</v>
      </c>
      <c r="M52" s="13">
        <f>(MasterTable[[#This Row],[End Time Adj]]-MasterTable[[#This Row],[Rd Travel ST]])*96</f>
        <v>6</v>
      </c>
      <c r="N52" s="37">
        <v>1.1111111111111112E-2</v>
      </c>
      <c r="O52" s="13" t="s">
        <v>33</v>
      </c>
      <c r="P52" s="35">
        <f>MasterTable[[#This Row],[Daily E HL2]]/4</f>
        <v>1.2500000000000009</v>
      </c>
    </row>
    <row r="53" spans="1:16">
      <c r="A53" s="13" t="s">
        <v>152</v>
      </c>
      <c r="B53" t="s">
        <v>110</v>
      </c>
      <c r="C53" s="14" t="s">
        <v>32</v>
      </c>
      <c r="D53" s="14">
        <v>46179</v>
      </c>
      <c r="E53" s="16">
        <v>0.77222222222222225</v>
      </c>
      <c r="F53" s="16">
        <v>0.82500000000000007</v>
      </c>
      <c r="G53" s="16">
        <f>MROUND(MasterTable[[#This Row],[Start Time]],"0:15")</f>
        <v>0.77083333333333326</v>
      </c>
      <c r="H53" s="16">
        <f>MROUND(MasterTable[[#This Row],[End Time]], "0:15")</f>
        <v>0.82291666666666663</v>
      </c>
      <c r="I53" s="16">
        <f>MasterTable[[#This Row],[Start Time]]-MasterTable[[#This Row],[Travel Time]]</f>
        <v>0.76111111111111118</v>
      </c>
      <c r="J53" s="16">
        <f>MROUND(MasterTable[[#This Row],[Travel ST]], "0:15")</f>
        <v>0.76041666666666663</v>
      </c>
      <c r="K53" s="13">
        <f>(MasterTable[[#This Row],[Start Time Adj]]-MasterTable[[#This Row],[Rd Travel ST]])*96</f>
        <v>0.99999999999999645</v>
      </c>
      <c r="L53" s="13">
        <f>(MasterTable[[#This Row],[End Time Adj]]-MasterTable[[#This Row],[Start Time Adj]])*96</f>
        <v>5.0000000000000036</v>
      </c>
      <c r="M53" s="13">
        <f>(MasterTable[[#This Row],[End Time Adj]]-MasterTable[[#This Row],[Rd Travel ST]])*96</f>
        <v>6</v>
      </c>
      <c r="N53" s="37">
        <v>1.1111111111111112E-2</v>
      </c>
      <c r="O53" s="13" t="s">
        <v>33</v>
      </c>
      <c r="P53" s="35">
        <f>MasterTable[[#This Row],[Daily E HL2]]/4</f>
        <v>1.2500000000000009</v>
      </c>
    </row>
    <row r="54" spans="1:16">
      <c r="A54" s="13" t="s">
        <v>153</v>
      </c>
      <c r="B54" t="s">
        <v>110</v>
      </c>
      <c r="C54" s="14" t="s">
        <v>32</v>
      </c>
      <c r="D54" s="14">
        <v>46209</v>
      </c>
      <c r="E54" s="16">
        <v>0.77222222222222225</v>
      </c>
      <c r="F54" s="16">
        <v>0.82500000000000007</v>
      </c>
      <c r="G54" s="16">
        <f>MROUND(MasterTable[[#This Row],[Start Time]],"0:15")</f>
        <v>0.77083333333333326</v>
      </c>
      <c r="H54" s="16">
        <f>MROUND(MasterTable[[#This Row],[End Time]], "0:15")</f>
        <v>0.82291666666666663</v>
      </c>
      <c r="I54" s="16">
        <f>MasterTable[[#This Row],[Start Time]]-MasterTable[[#This Row],[Travel Time]]</f>
        <v>0.76111111111111118</v>
      </c>
      <c r="J54" s="16">
        <f>MROUND(MasterTable[[#This Row],[Travel ST]], "0:15")</f>
        <v>0.76041666666666663</v>
      </c>
      <c r="K54" s="13">
        <f>(MasterTable[[#This Row],[Start Time Adj]]-MasterTable[[#This Row],[Rd Travel ST]])*96</f>
        <v>0.99999999999999645</v>
      </c>
      <c r="L54" s="13">
        <f>(MasterTable[[#This Row],[End Time Adj]]-MasterTable[[#This Row],[Start Time Adj]])*96</f>
        <v>5.0000000000000036</v>
      </c>
      <c r="M54" s="13">
        <f>(MasterTable[[#This Row],[End Time Adj]]-MasterTable[[#This Row],[Rd Travel ST]])*96</f>
        <v>6</v>
      </c>
      <c r="N54" s="37">
        <v>1.1111111111111112E-2</v>
      </c>
      <c r="O54" s="13" t="s">
        <v>33</v>
      </c>
      <c r="P54" s="35">
        <f>MasterTable[[#This Row],[Daily E HL2]]/4</f>
        <v>1.2500000000000009</v>
      </c>
    </row>
    <row r="55" spans="1:16">
      <c r="A55" s="13" t="s">
        <v>154</v>
      </c>
      <c r="B55" t="s">
        <v>110</v>
      </c>
      <c r="C55" s="14" t="s">
        <v>32</v>
      </c>
      <c r="D55" s="14">
        <v>46239</v>
      </c>
      <c r="E55" s="16">
        <v>0.77222222222222225</v>
      </c>
      <c r="F55" s="16">
        <v>0.82500000000000007</v>
      </c>
      <c r="G55" s="16">
        <f>MROUND(MasterTable[[#This Row],[Start Time]],"0:15")</f>
        <v>0.77083333333333326</v>
      </c>
      <c r="H55" s="16">
        <f>MROUND(MasterTable[[#This Row],[End Time]], "0:15")</f>
        <v>0.82291666666666663</v>
      </c>
      <c r="I55" s="16">
        <f>MasterTable[[#This Row],[Start Time]]-MasterTable[[#This Row],[Travel Time]]</f>
        <v>0.76111111111111118</v>
      </c>
      <c r="J55" s="16">
        <f>MROUND(MasterTable[[#This Row],[Travel ST]], "0:15")</f>
        <v>0.76041666666666663</v>
      </c>
      <c r="K55" s="13">
        <f>(MasterTable[[#This Row],[Start Time Adj]]-MasterTable[[#This Row],[Rd Travel ST]])*96</f>
        <v>0.99999999999999645</v>
      </c>
      <c r="L55" s="13">
        <f>(MasterTable[[#This Row],[End Time Adj]]-MasterTable[[#This Row],[Start Time Adj]])*96</f>
        <v>5.0000000000000036</v>
      </c>
      <c r="M55" s="13">
        <f>(MasterTable[[#This Row],[End Time Adj]]-MasterTable[[#This Row],[Rd Travel ST]])*96</f>
        <v>6</v>
      </c>
      <c r="N55" s="37">
        <v>1.1111111111111112E-2</v>
      </c>
      <c r="O55" s="13" t="s">
        <v>33</v>
      </c>
      <c r="P55" s="35">
        <f>MasterTable[[#This Row],[Daily E HL2]]/4</f>
        <v>1.2500000000000009</v>
      </c>
    </row>
    <row r="56" spans="1:16">
      <c r="A56" s="13" t="s">
        <v>155</v>
      </c>
      <c r="B56" t="s">
        <v>110</v>
      </c>
      <c r="C56" s="14" t="s">
        <v>32</v>
      </c>
      <c r="D56" s="14">
        <v>46269</v>
      </c>
      <c r="E56" s="16">
        <v>0.77222222222222225</v>
      </c>
      <c r="F56" s="16">
        <v>0.82500000000000007</v>
      </c>
      <c r="G56" s="16">
        <f>MROUND(MasterTable[[#This Row],[Start Time]],"0:15")</f>
        <v>0.77083333333333326</v>
      </c>
      <c r="H56" s="16">
        <f>MROUND(MasterTable[[#This Row],[End Time]], "0:15")</f>
        <v>0.82291666666666663</v>
      </c>
      <c r="I56" s="16">
        <f>MasterTable[[#This Row],[Start Time]]-MasterTable[[#This Row],[Travel Time]]</f>
        <v>0.76111111111111118</v>
      </c>
      <c r="J56" s="16">
        <f>MROUND(MasterTable[[#This Row],[Travel ST]], "0:15")</f>
        <v>0.76041666666666663</v>
      </c>
      <c r="K56" s="13">
        <f>(MasterTable[[#This Row],[Start Time Adj]]-MasterTable[[#This Row],[Rd Travel ST]])*96</f>
        <v>0.99999999999999645</v>
      </c>
      <c r="L56" s="13">
        <f>(MasterTable[[#This Row],[End Time Adj]]-MasterTable[[#This Row],[Start Time Adj]])*96</f>
        <v>5.0000000000000036</v>
      </c>
      <c r="M56" s="13">
        <f>(MasterTable[[#This Row],[End Time Adj]]-MasterTable[[#This Row],[Rd Travel ST]])*96</f>
        <v>6</v>
      </c>
      <c r="N56" s="37">
        <v>1.1111111111111112E-2</v>
      </c>
      <c r="O56" s="13" t="s">
        <v>33</v>
      </c>
      <c r="P56" s="35">
        <f>MasterTable[[#This Row],[Daily E HL2]]/4</f>
        <v>1.2500000000000009</v>
      </c>
    </row>
    <row r="57" spans="1:16">
      <c r="A57" s="13" t="s">
        <v>156</v>
      </c>
      <c r="B57" t="s">
        <v>110</v>
      </c>
      <c r="C57" s="14" t="s">
        <v>32</v>
      </c>
      <c r="D57" s="14">
        <v>46299</v>
      </c>
      <c r="E57" s="16">
        <v>0.77222222222222225</v>
      </c>
      <c r="F57" s="16">
        <v>0.82500000000000007</v>
      </c>
      <c r="G57" s="16">
        <f>MROUND(MasterTable[[#This Row],[Start Time]],"0:15")</f>
        <v>0.77083333333333326</v>
      </c>
      <c r="H57" s="16">
        <f>MROUND(MasterTable[[#This Row],[End Time]], "0:15")</f>
        <v>0.82291666666666663</v>
      </c>
      <c r="I57" s="16">
        <f>MasterTable[[#This Row],[Start Time]]-MasterTable[[#This Row],[Travel Time]]</f>
        <v>0.76111111111111118</v>
      </c>
      <c r="J57" s="16">
        <f>MROUND(MasterTable[[#This Row],[Travel ST]], "0:15")</f>
        <v>0.76041666666666663</v>
      </c>
      <c r="K57" s="13">
        <f>(MasterTable[[#This Row],[Start Time Adj]]-MasterTable[[#This Row],[Rd Travel ST]])*96</f>
        <v>0.99999999999999645</v>
      </c>
      <c r="L57" s="13">
        <f>(MasterTable[[#This Row],[End Time Adj]]-MasterTable[[#This Row],[Start Time Adj]])*96</f>
        <v>5.0000000000000036</v>
      </c>
      <c r="M57" s="13">
        <f>(MasterTable[[#This Row],[End Time Adj]]-MasterTable[[#This Row],[Rd Travel ST]])*96</f>
        <v>6</v>
      </c>
      <c r="N57" s="37">
        <v>1.1111111111111112E-2</v>
      </c>
      <c r="O57" s="13" t="s">
        <v>33</v>
      </c>
      <c r="P57" s="35">
        <f>MasterTable[[#This Row],[Daily E HL2]]/4</f>
        <v>1.2500000000000009</v>
      </c>
    </row>
    <row r="58" spans="1:16">
      <c r="A58" s="13" t="s">
        <v>157</v>
      </c>
      <c r="B58" t="s">
        <v>110</v>
      </c>
      <c r="C58" s="14" t="s">
        <v>32</v>
      </c>
      <c r="D58" s="14">
        <v>46329</v>
      </c>
      <c r="E58" s="16">
        <v>0.77222222222222225</v>
      </c>
      <c r="F58" s="16">
        <v>0.82500000000000007</v>
      </c>
      <c r="G58" s="16">
        <f>MROUND(MasterTable[[#This Row],[Start Time]],"0:15")</f>
        <v>0.77083333333333326</v>
      </c>
      <c r="H58" s="16">
        <f>MROUND(MasterTable[[#This Row],[End Time]], "0:15")</f>
        <v>0.82291666666666663</v>
      </c>
      <c r="I58" s="16">
        <f>MasterTable[[#This Row],[Start Time]]-MasterTable[[#This Row],[Travel Time]]</f>
        <v>0.76111111111111118</v>
      </c>
      <c r="J58" s="16">
        <f>MROUND(MasterTable[[#This Row],[Travel ST]], "0:15")</f>
        <v>0.76041666666666663</v>
      </c>
      <c r="K58" s="13">
        <f>(MasterTable[[#This Row],[Start Time Adj]]-MasterTable[[#This Row],[Rd Travel ST]])*96</f>
        <v>0.99999999999999645</v>
      </c>
      <c r="L58" s="13">
        <f>(MasterTable[[#This Row],[End Time Adj]]-MasterTable[[#This Row],[Start Time Adj]])*96</f>
        <v>5.0000000000000036</v>
      </c>
      <c r="M58" s="13">
        <f>(MasterTable[[#This Row],[End Time Adj]]-MasterTable[[#This Row],[Rd Travel ST]])*96</f>
        <v>6</v>
      </c>
      <c r="N58" s="37">
        <v>1.1111111111111112E-2</v>
      </c>
      <c r="O58" s="13" t="s">
        <v>33</v>
      </c>
      <c r="P58" s="35">
        <f>MasterTable[[#This Row],[Daily E HL2]]/4</f>
        <v>1.2500000000000009</v>
      </c>
    </row>
    <row r="59" spans="1:16">
      <c r="A59" s="13" t="s">
        <v>158</v>
      </c>
      <c r="B59" t="s">
        <v>110</v>
      </c>
      <c r="C59" s="14" t="s">
        <v>32</v>
      </c>
      <c r="D59" s="14">
        <v>46359</v>
      </c>
      <c r="E59" s="16">
        <v>0.77222222222222225</v>
      </c>
      <c r="F59" s="16">
        <v>0.82500000000000007</v>
      </c>
      <c r="G59" s="16">
        <f>MROUND(MasterTable[[#This Row],[Start Time]],"0:15")</f>
        <v>0.77083333333333326</v>
      </c>
      <c r="H59" s="16">
        <f>MROUND(MasterTable[[#This Row],[End Time]], "0:15")</f>
        <v>0.82291666666666663</v>
      </c>
      <c r="I59" s="16">
        <f>MasterTable[[#This Row],[Start Time]]-MasterTable[[#This Row],[Travel Time]]</f>
        <v>0.76111111111111118</v>
      </c>
      <c r="J59" s="16">
        <f>MROUND(MasterTable[[#This Row],[Travel ST]], "0:15")</f>
        <v>0.76041666666666663</v>
      </c>
      <c r="K59" s="13">
        <f>(MasterTable[[#This Row],[Start Time Adj]]-MasterTable[[#This Row],[Rd Travel ST]])*96</f>
        <v>0.99999999999999645</v>
      </c>
      <c r="L59" s="13">
        <f>(MasterTable[[#This Row],[End Time Adj]]-MasterTable[[#This Row],[Start Time Adj]])*96</f>
        <v>5.0000000000000036</v>
      </c>
      <c r="M59" s="13">
        <f>(MasterTable[[#This Row],[End Time Adj]]-MasterTable[[#This Row],[Rd Travel ST]])*96</f>
        <v>6</v>
      </c>
      <c r="N59" s="37">
        <v>1.1111111111111112E-2</v>
      </c>
      <c r="O59" s="13" t="s">
        <v>33</v>
      </c>
      <c r="P59" s="35">
        <f>MasterTable[[#This Row],[Daily E HL2]]/4</f>
        <v>1.2500000000000009</v>
      </c>
    </row>
    <row r="60" spans="1:16">
      <c r="A60" s="13" t="s">
        <v>159</v>
      </c>
      <c r="B60" t="s">
        <v>110</v>
      </c>
      <c r="C60" s="14" t="s">
        <v>32</v>
      </c>
      <c r="D60" s="14">
        <v>46389</v>
      </c>
      <c r="E60" s="16">
        <v>0.77222222222222225</v>
      </c>
      <c r="F60" s="16">
        <v>0.82500000000000007</v>
      </c>
      <c r="G60" s="16">
        <f>MROUND(MasterTable[[#This Row],[Start Time]],"0:15")</f>
        <v>0.77083333333333326</v>
      </c>
      <c r="H60" s="16">
        <f>MROUND(MasterTable[[#This Row],[End Time]], "0:15")</f>
        <v>0.82291666666666663</v>
      </c>
      <c r="I60" s="16">
        <f>MasterTable[[#This Row],[Start Time]]-MasterTable[[#This Row],[Travel Time]]</f>
        <v>0.76111111111111118</v>
      </c>
      <c r="J60" s="16">
        <f>MROUND(MasterTable[[#This Row],[Travel ST]], "0:15")</f>
        <v>0.76041666666666663</v>
      </c>
      <c r="K60" s="13">
        <f>(MasterTable[[#This Row],[Start Time Adj]]-MasterTable[[#This Row],[Rd Travel ST]])*96</f>
        <v>0.99999999999999645</v>
      </c>
      <c r="L60" s="13">
        <f>(MasterTable[[#This Row],[End Time Adj]]-MasterTable[[#This Row],[Start Time Adj]])*96</f>
        <v>5.0000000000000036</v>
      </c>
      <c r="M60" s="13">
        <f>(MasterTable[[#This Row],[End Time Adj]]-MasterTable[[#This Row],[Rd Travel ST]])*96</f>
        <v>6</v>
      </c>
      <c r="N60" s="37">
        <v>1.1111111111111112E-2</v>
      </c>
      <c r="O60" s="13" t="s">
        <v>33</v>
      </c>
      <c r="P60" s="35">
        <f>MasterTable[[#This Row],[Daily E HL2]]/4</f>
        <v>1.2500000000000009</v>
      </c>
    </row>
    <row r="61" spans="1:16">
      <c r="A61" s="13" t="s">
        <v>160</v>
      </c>
      <c r="B61" t="s">
        <v>110</v>
      </c>
      <c r="C61" s="14" t="s">
        <v>32</v>
      </c>
      <c r="D61" s="14">
        <v>46419</v>
      </c>
      <c r="E61" s="16">
        <v>0.77222222222222225</v>
      </c>
      <c r="F61" s="16">
        <v>0.82500000000000007</v>
      </c>
      <c r="G61" s="16">
        <f>MROUND(MasterTable[[#This Row],[Start Time]],"0:15")</f>
        <v>0.77083333333333326</v>
      </c>
      <c r="H61" s="16">
        <f>MROUND(MasterTable[[#This Row],[End Time]], "0:15")</f>
        <v>0.82291666666666663</v>
      </c>
      <c r="I61" s="16">
        <f>MasterTable[[#This Row],[Start Time]]-MasterTable[[#This Row],[Travel Time]]</f>
        <v>0.76111111111111118</v>
      </c>
      <c r="J61" s="16">
        <f>MROUND(MasterTable[[#This Row],[Travel ST]], "0:15")</f>
        <v>0.76041666666666663</v>
      </c>
      <c r="K61" s="13">
        <f>(MasterTable[[#This Row],[Start Time Adj]]-MasterTable[[#This Row],[Rd Travel ST]])*96</f>
        <v>0.99999999999999645</v>
      </c>
      <c r="L61" s="13">
        <f>(MasterTable[[#This Row],[End Time Adj]]-MasterTable[[#This Row],[Start Time Adj]])*96</f>
        <v>5.0000000000000036</v>
      </c>
      <c r="M61" s="13">
        <f>(MasterTable[[#This Row],[End Time Adj]]-MasterTable[[#This Row],[Rd Travel ST]])*96</f>
        <v>6</v>
      </c>
      <c r="N61" s="37">
        <v>1.1111111111111112E-2</v>
      </c>
      <c r="O61" s="13" t="s">
        <v>33</v>
      </c>
      <c r="P61" s="35">
        <f>MasterTable[[#This Row],[Daily E HL2]]/4</f>
        <v>1.2500000000000009</v>
      </c>
    </row>
    <row r="62" spans="1:16">
      <c r="A62" s="13" t="s">
        <v>161</v>
      </c>
      <c r="B62" t="s">
        <v>110</v>
      </c>
      <c r="C62" s="14" t="s">
        <v>32</v>
      </c>
      <c r="D62" s="14">
        <v>46449</v>
      </c>
      <c r="E62" s="16">
        <v>0.77222222222222225</v>
      </c>
      <c r="F62" s="16">
        <v>0.82500000000000007</v>
      </c>
      <c r="G62" s="16">
        <f>MROUND(MasterTable[[#This Row],[Start Time]],"0:15")</f>
        <v>0.77083333333333326</v>
      </c>
      <c r="H62" s="16">
        <f>MROUND(MasterTable[[#This Row],[End Time]], "0:15")</f>
        <v>0.82291666666666663</v>
      </c>
      <c r="I62" s="16">
        <f>MasterTable[[#This Row],[Start Time]]-MasterTable[[#This Row],[Travel Time]]</f>
        <v>0.76111111111111118</v>
      </c>
      <c r="J62" s="16">
        <f>MROUND(MasterTable[[#This Row],[Travel ST]], "0:15")</f>
        <v>0.76041666666666663</v>
      </c>
      <c r="K62" s="13">
        <f>(MasterTable[[#This Row],[Start Time Adj]]-MasterTable[[#This Row],[Rd Travel ST]])*96</f>
        <v>0.99999999999999645</v>
      </c>
      <c r="L62" s="13">
        <f>(MasterTable[[#This Row],[End Time Adj]]-MasterTable[[#This Row],[Start Time Adj]])*96</f>
        <v>5.0000000000000036</v>
      </c>
      <c r="M62" s="13">
        <f>(MasterTable[[#This Row],[End Time Adj]]-MasterTable[[#This Row],[Rd Travel ST]])*96</f>
        <v>6</v>
      </c>
      <c r="N62" s="37">
        <v>1.1111111111111112E-2</v>
      </c>
      <c r="O62" s="13" t="s">
        <v>33</v>
      </c>
      <c r="P62" s="35">
        <f>MasterTable[[#This Row],[Daily E HL2]]/4</f>
        <v>1.2500000000000009</v>
      </c>
    </row>
    <row r="63" spans="1:16">
      <c r="A63" s="13" t="s">
        <v>162</v>
      </c>
      <c r="B63" t="s">
        <v>110</v>
      </c>
      <c r="C63" s="14" t="s">
        <v>32</v>
      </c>
      <c r="D63" s="14">
        <v>46479</v>
      </c>
      <c r="E63" s="16">
        <v>0.77222222222222225</v>
      </c>
      <c r="F63" s="16">
        <v>0.82500000000000007</v>
      </c>
      <c r="G63" s="16">
        <f>MROUND(MasterTable[[#This Row],[Start Time]],"0:15")</f>
        <v>0.77083333333333326</v>
      </c>
      <c r="H63" s="16">
        <f>MROUND(MasterTable[[#This Row],[End Time]], "0:15")</f>
        <v>0.82291666666666663</v>
      </c>
      <c r="I63" s="16">
        <f>MasterTable[[#This Row],[Start Time]]-MasterTable[[#This Row],[Travel Time]]</f>
        <v>0.76111111111111118</v>
      </c>
      <c r="J63" s="16">
        <f>MROUND(MasterTable[[#This Row],[Travel ST]], "0:15")</f>
        <v>0.76041666666666663</v>
      </c>
      <c r="K63" s="13">
        <f>(MasterTable[[#This Row],[Start Time Adj]]-MasterTable[[#This Row],[Rd Travel ST]])*96</f>
        <v>0.99999999999999645</v>
      </c>
      <c r="L63" s="13">
        <f>(MasterTable[[#This Row],[End Time Adj]]-MasterTable[[#This Row],[Start Time Adj]])*96</f>
        <v>5.0000000000000036</v>
      </c>
      <c r="M63" s="13">
        <f>(MasterTable[[#This Row],[End Time Adj]]-MasterTable[[#This Row],[Rd Travel ST]])*96</f>
        <v>6</v>
      </c>
      <c r="N63" s="37">
        <v>1.1111111111111112E-2</v>
      </c>
      <c r="O63" s="13" t="s">
        <v>33</v>
      </c>
      <c r="P63" s="35">
        <f>MasterTable[[#This Row],[Daily E HL2]]/4</f>
        <v>1.2500000000000009</v>
      </c>
    </row>
    <row r="64" spans="1:16">
      <c r="A64" s="13" t="s">
        <v>163</v>
      </c>
      <c r="B64" t="s">
        <v>110</v>
      </c>
      <c r="C64" s="14" t="s">
        <v>32</v>
      </c>
      <c r="D64" s="14">
        <v>46509</v>
      </c>
      <c r="E64" s="16">
        <v>0.77222222222222225</v>
      </c>
      <c r="F64" s="16">
        <v>0.82500000000000007</v>
      </c>
      <c r="G64" s="16">
        <f>MROUND(MasterTable[[#This Row],[Start Time]],"0:15")</f>
        <v>0.77083333333333326</v>
      </c>
      <c r="H64" s="16">
        <f>MROUND(MasterTable[[#This Row],[End Time]], "0:15")</f>
        <v>0.82291666666666663</v>
      </c>
      <c r="I64" s="16">
        <f>MasterTable[[#This Row],[Start Time]]-MasterTable[[#This Row],[Travel Time]]</f>
        <v>0.76111111111111118</v>
      </c>
      <c r="J64" s="16">
        <f>MROUND(MasterTable[[#This Row],[Travel ST]], "0:15")</f>
        <v>0.76041666666666663</v>
      </c>
      <c r="K64" s="13">
        <f>(MasterTable[[#This Row],[Start Time Adj]]-MasterTable[[#This Row],[Rd Travel ST]])*96</f>
        <v>0.99999999999999645</v>
      </c>
      <c r="L64" s="13">
        <f>(MasterTable[[#This Row],[End Time Adj]]-MasterTable[[#This Row],[Start Time Adj]])*96</f>
        <v>5.0000000000000036</v>
      </c>
      <c r="M64" s="13">
        <f>(MasterTable[[#This Row],[End Time Adj]]-MasterTable[[#This Row],[Rd Travel ST]])*96</f>
        <v>6</v>
      </c>
      <c r="N64" s="37">
        <v>1.1111111111111112E-2</v>
      </c>
      <c r="O64" s="13" t="s">
        <v>33</v>
      </c>
      <c r="P64" s="35">
        <f>MasterTable[[#This Row],[Daily E HL2]]/4</f>
        <v>1.2500000000000009</v>
      </c>
    </row>
    <row r="65" spans="1:16">
      <c r="A65" s="13" t="s">
        <v>164</v>
      </c>
      <c r="B65" t="s">
        <v>110</v>
      </c>
      <c r="C65" s="14" t="s">
        <v>32</v>
      </c>
      <c r="D65" s="14">
        <v>46539</v>
      </c>
      <c r="E65" s="16">
        <v>0.77222222222222225</v>
      </c>
      <c r="F65" s="16">
        <v>0.82500000000000007</v>
      </c>
      <c r="G65" s="16">
        <f>MROUND(MasterTable[[#This Row],[Start Time]],"0:15")</f>
        <v>0.77083333333333326</v>
      </c>
      <c r="H65" s="16">
        <f>MROUND(MasterTable[[#This Row],[End Time]], "0:15")</f>
        <v>0.82291666666666663</v>
      </c>
      <c r="I65" s="16">
        <f>MasterTable[[#This Row],[Start Time]]-MasterTable[[#This Row],[Travel Time]]</f>
        <v>0.76111111111111118</v>
      </c>
      <c r="J65" s="16">
        <f>MROUND(MasterTable[[#This Row],[Travel ST]], "0:15")</f>
        <v>0.76041666666666663</v>
      </c>
      <c r="K65" s="13">
        <f>(MasterTable[[#This Row],[Start Time Adj]]-MasterTable[[#This Row],[Rd Travel ST]])*96</f>
        <v>0.99999999999999645</v>
      </c>
      <c r="L65" s="13">
        <f>(MasterTable[[#This Row],[End Time Adj]]-MasterTable[[#This Row],[Start Time Adj]])*96</f>
        <v>5.0000000000000036</v>
      </c>
      <c r="M65" s="13">
        <f>(MasterTable[[#This Row],[End Time Adj]]-MasterTable[[#This Row],[Rd Travel ST]])*96</f>
        <v>6</v>
      </c>
      <c r="N65" s="37">
        <v>1.1111111111111112E-2</v>
      </c>
      <c r="O65" s="13" t="s">
        <v>33</v>
      </c>
      <c r="P65" s="35">
        <f>MasterTable[[#This Row],[Daily E HL2]]/4</f>
        <v>1.2500000000000009</v>
      </c>
    </row>
    <row r="66" spans="1:16">
      <c r="A66" s="13" t="s">
        <v>165</v>
      </c>
      <c r="B66" t="s">
        <v>110</v>
      </c>
      <c r="C66" s="14" t="s">
        <v>32</v>
      </c>
      <c r="D66" s="14">
        <v>46569</v>
      </c>
      <c r="E66" s="16">
        <v>0.77222222222222225</v>
      </c>
      <c r="F66" s="16">
        <v>0.82500000000000007</v>
      </c>
      <c r="G66" s="16">
        <f>MROUND(MasterTable[[#This Row],[Start Time]],"0:15")</f>
        <v>0.77083333333333326</v>
      </c>
      <c r="H66" s="16">
        <f>MROUND(MasterTable[[#This Row],[End Time]], "0:15")</f>
        <v>0.82291666666666663</v>
      </c>
      <c r="I66" s="16">
        <f>MasterTable[[#This Row],[Start Time]]-MasterTable[[#This Row],[Travel Time]]</f>
        <v>0.76111111111111118</v>
      </c>
      <c r="J66" s="16">
        <f>MROUND(MasterTable[[#This Row],[Travel ST]], "0:15")</f>
        <v>0.76041666666666663</v>
      </c>
      <c r="K66" s="13">
        <f>(MasterTable[[#This Row],[Start Time Adj]]-MasterTable[[#This Row],[Rd Travel ST]])*96</f>
        <v>0.99999999999999645</v>
      </c>
      <c r="L66" s="13">
        <f>(MasterTable[[#This Row],[End Time Adj]]-MasterTable[[#This Row],[Start Time Adj]])*96</f>
        <v>5.0000000000000036</v>
      </c>
      <c r="M66" s="13">
        <f>(MasterTable[[#This Row],[End Time Adj]]-MasterTable[[#This Row],[Rd Travel ST]])*96</f>
        <v>6</v>
      </c>
      <c r="N66" s="37">
        <v>1.1111111111111112E-2</v>
      </c>
      <c r="O66" s="13" t="s">
        <v>33</v>
      </c>
      <c r="P66" s="35">
        <f>MasterTable[[#This Row],[Daily E HL2]]/4</f>
        <v>1.2500000000000009</v>
      </c>
    </row>
    <row r="67" spans="1:16">
      <c r="A67" s="13" t="s">
        <v>166</v>
      </c>
      <c r="B67" t="s">
        <v>110</v>
      </c>
      <c r="C67" s="14" t="s">
        <v>32</v>
      </c>
      <c r="D67" s="14">
        <v>46599</v>
      </c>
      <c r="E67" s="16">
        <v>0.77222222222222225</v>
      </c>
      <c r="F67" s="16">
        <v>0.82500000000000007</v>
      </c>
      <c r="G67" s="16">
        <f>MROUND(MasterTable[[#This Row],[Start Time]],"0:15")</f>
        <v>0.77083333333333326</v>
      </c>
      <c r="H67" s="16">
        <f>MROUND(MasterTable[[#This Row],[End Time]], "0:15")</f>
        <v>0.82291666666666663</v>
      </c>
      <c r="I67" s="16">
        <f>MasterTable[[#This Row],[Start Time]]-MasterTable[[#This Row],[Travel Time]]</f>
        <v>0.76111111111111118</v>
      </c>
      <c r="J67" s="16">
        <f>MROUND(MasterTable[[#This Row],[Travel ST]], "0:15")</f>
        <v>0.76041666666666663</v>
      </c>
      <c r="K67" s="13">
        <f>(MasterTable[[#This Row],[Start Time Adj]]-MasterTable[[#This Row],[Rd Travel ST]])*96</f>
        <v>0.99999999999999645</v>
      </c>
      <c r="L67" s="13">
        <f>(MasterTable[[#This Row],[End Time Adj]]-MasterTable[[#This Row],[Start Time Adj]])*96</f>
        <v>5.0000000000000036</v>
      </c>
      <c r="M67" s="13">
        <f>(MasterTable[[#This Row],[End Time Adj]]-MasterTable[[#This Row],[Rd Travel ST]])*96</f>
        <v>6</v>
      </c>
      <c r="N67" s="37">
        <v>1.1111111111111112E-2</v>
      </c>
      <c r="O67" s="13" t="s">
        <v>33</v>
      </c>
      <c r="P67" s="35">
        <f>MasterTable[[#This Row],[Daily E HL2]]/4</f>
        <v>1.2500000000000009</v>
      </c>
    </row>
    <row r="68" spans="1:16">
      <c r="A68" s="13" t="s">
        <v>167</v>
      </c>
      <c r="B68" t="s">
        <v>110</v>
      </c>
      <c r="C68" s="14" t="s">
        <v>32</v>
      </c>
      <c r="D68" s="14">
        <v>46629</v>
      </c>
      <c r="E68" s="16">
        <v>0.77222222222222225</v>
      </c>
      <c r="F68" s="16">
        <v>0.82500000000000007</v>
      </c>
      <c r="G68" s="16">
        <f>MROUND(MasterTable[[#This Row],[Start Time]],"0:15")</f>
        <v>0.77083333333333326</v>
      </c>
      <c r="H68" s="16">
        <f>MROUND(MasterTable[[#This Row],[End Time]], "0:15")</f>
        <v>0.82291666666666663</v>
      </c>
      <c r="I68" s="16">
        <f>MasterTable[[#This Row],[Start Time]]-MasterTable[[#This Row],[Travel Time]]</f>
        <v>0.76111111111111118</v>
      </c>
      <c r="J68" s="16">
        <f>MROUND(MasterTable[[#This Row],[Travel ST]], "0:15")</f>
        <v>0.76041666666666663</v>
      </c>
      <c r="K68" s="13">
        <f>(MasterTable[[#This Row],[Start Time Adj]]-MasterTable[[#This Row],[Rd Travel ST]])*96</f>
        <v>0.99999999999999645</v>
      </c>
      <c r="L68" s="13">
        <f>(MasterTable[[#This Row],[End Time Adj]]-MasterTable[[#This Row],[Start Time Adj]])*96</f>
        <v>5.0000000000000036</v>
      </c>
      <c r="M68" s="13">
        <f>(MasterTable[[#This Row],[End Time Adj]]-MasterTable[[#This Row],[Rd Travel ST]])*96</f>
        <v>6</v>
      </c>
      <c r="N68" s="37">
        <v>1.1111111111111112E-2</v>
      </c>
      <c r="O68" s="13" t="s">
        <v>33</v>
      </c>
      <c r="P68" s="35">
        <f>MasterTable[[#This Row],[Daily E HL2]]/4</f>
        <v>1.2500000000000009</v>
      </c>
    </row>
    <row r="69" spans="1:16">
      <c r="A69" s="13" t="s">
        <v>168</v>
      </c>
      <c r="B69" t="s">
        <v>110</v>
      </c>
      <c r="C69" s="14" t="s">
        <v>32</v>
      </c>
      <c r="D69" s="14">
        <v>46659</v>
      </c>
      <c r="E69" s="16">
        <v>0.77222222222222225</v>
      </c>
      <c r="F69" s="16">
        <v>0.82500000000000007</v>
      </c>
      <c r="G69" s="16">
        <f>MROUND(MasterTable[[#This Row],[Start Time]],"0:15")</f>
        <v>0.77083333333333326</v>
      </c>
      <c r="H69" s="16">
        <f>MROUND(MasterTable[[#This Row],[End Time]], "0:15")</f>
        <v>0.82291666666666663</v>
      </c>
      <c r="I69" s="16">
        <f>MasterTable[[#This Row],[Start Time]]-MasterTable[[#This Row],[Travel Time]]</f>
        <v>0.76111111111111118</v>
      </c>
      <c r="J69" s="16">
        <f>MROUND(MasterTable[[#This Row],[Travel ST]], "0:15")</f>
        <v>0.76041666666666663</v>
      </c>
      <c r="K69" s="13">
        <f>(MasterTable[[#This Row],[Start Time Adj]]-MasterTable[[#This Row],[Rd Travel ST]])*96</f>
        <v>0.99999999999999645</v>
      </c>
      <c r="L69" s="13">
        <f>(MasterTable[[#This Row],[End Time Adj]]-MasterTable[[#This Row],[Start Time Adj]])*96</f>
        <v>5.0000000000000036</v>
      </c>
      <c r="M69" s="13">
        <f>(MasterTable[[#This Row],[End Time Adj]]-MasterTable[[#This Row],[Rd Travel ST]])*96</f>
        <v>6</v>
      </c>
      <c r="N69" s="37">
        <v>1.1111111111111112E-2</v>
      </c>
      <c r="O69" s="13" t="s">
        <v>33</v>
      </c>
      <c r="P69" s="35">
        <f>MasterTable[[#This Row],[Daily E HL2]]/4</f>
        <v>1.2500000000000009</v>
      </c>
    </row>
    <row r="70" spans="1:16">
      <c r="A70" s="13" t="s">
        <v>169</v>
      </c>
      <c r="B70" t="s">
        <v>110</v>
      </c>
      <c r="C70" s="14" t="s">
        <v>32</v>
      </c>
      <c r="D70" s="14">
        <v>46689</v>
      </c>
      <c r="E70" s="16">
        <v>0.77222222222222225</v>
      </c>
      <c r="F70" s="16">
        <v>0.82500000000000007</v>
      </c>
      <c r="G70" s="16">
        <f>MROUND(MasterTable[[#This Row],[Start Time]],"0:15")</f>
        <v>0.77083333333333326</v>
      </c>
      <c r="H70" s="16">
        <f>MROUND(MasterTable[[#This Row],[End Time]], "0:15")</f>
        <v>0.82291666666666663</v>
      </c>
      <c r="I70" s="16">
        <f>MasterTable[[#This Row],[Start Time]]-MasterTable[[#This Row],[Travel Time]]</f>
        <v>0.76111111111111118</v>
      </c>
      <c r="J70" s="16">
        <f>MROUND(MasterTable[[#This Row],[Travel ST]], "0:15")</f>
        <v>0.76041666666666663</v>
      </c>
      <c r="K70" s="13">
        <f>(MasterTable[[#This Row],[Start Time Adj]]-MasterTable[[#This Row],[Rd Travel ST]])*96</f>
        <v>0.99999999999999645</v>
      </c>
      <c r="L70" s="13">
        <f>(MasterTable[[#This Row],[End Time Adj]]-MasterTable[[#This Row],[Start Time Adj]])*96</f>
        <v>5.0000000000000036</v>
      </c>
      <c r="M70" s="13">
        <f>(MasterTable[[#This Row],[End Time Adj]]-MasterTable[[#This Row],[Rd Travel ST]])*96</f>
        <v>6</v>
      </c>
      <c r="N70" s="37">
        <v>1.1111111111111112E-2</v>
      </c>
      <c r="O70" s="13" t="s">
        <v>33</v>
      </c>
      <c r="P70" s="35">
        <f>MasterTable[[#This Row],[Daily E HL2]]/4</f>
        <v>1.2500000000000009</v>
      </c>
    </row>
    <row r="71" spans="1:16">
      <c r="A71" s="13" t="s">
        <v>170</v>
      </c>
      <c r="B71" t="s">
        <v>110</v>
      </c>
      <c r="C71" s="14" t="s">
        <v>32</v>
      </c>
      <c r="D71" s="14">
        <v>46719</v>
      </c>
      <c r="E71" s="16">
        <v>0.77222222222222225</v>
      </c>
      <c r="F71" s="16">
        <v>0.82500000000000007</v>
      </c>
      <c r="G71" s="16">
        <f>MROUND(MasterTable[[#This Row],[Start Time]],"0:15")</f>
        <v>0.77083333333333326</v>
      </c>
      <c r="H71" s="16">
        <f>MROUND(MasterTable[[#This Row],[End Time]], "0:15")</f>
        <v>0.82291666666666663</v>
      </c>
      <c r="I71" s="16">
        <f>MasterTable[[#This Row],[Start Time]]-MasterTable[[#This Row],[Travel Time]]</f>
        <v>0.76111111111111118</v>
      </c>
      <c r="J71" s="16">
        <f>MROUND(MasterTable[[#This Row],[Travel ST]], "0:15")</f>
        <v>0.76041666666666663</v>
      </c>
      <c r="K71" s="13">
        <f>(MasterTable[[#This Row],[Start Time Adj]]-MasterTable[[#This Row],[Rd Travel ST]])*96</f>
        <v>0.99999999999999645</v>
      </c>
      <c r="L71" s="13">
        <f>(MasterTable[[#This Row],[End Time Adj]]-MasterTable[[#This Row],[Start Time Adj]])*96</f>
        <v>5.0000000000000036</v>
      </c>
      <c r="M71" s="13">
        <f>(MasterTable[[#This Row],[End Time Adj]]-MasterTable[[#This Row],[Rd Travel ST]])*96</f>
        <v>6</v>
      </c>
      <c r="N71" s="37">
        <v>1.1111111111111112E-2</v>
      </c>
      <c r="O71" s="13" t="s">
        <v>33</v>
      </c>
      <c r="P71" s="35">
        <f>MasterTable[[#This Row],[Daily E HL2]]/4</f>
        <v>1.2500000000000009</v>
      </c>
    </row>
    <row r="72" spans="1:16">
      <c r="A72" s="13" t="s">
        <v>171</v>
      </c>
      <c r="B72" t="s">
        <v>110</v>
      </c>
      <c r="C72" s="14" t="s">
        <v>32</v>
      </c>
      <c r="D72" s="14">
        <v>46749</v>
      </c>
      <c r="E72" s="16">
        <v>0.77222222222222225</v>
      </c>
      <c r="F72" s="16">
        <v>0.82500000000000007</v>
      </c>
      <c r="G72" s="16">
        <f>MROUND(MasterTable[[#This Row],[Start Time]],"0:15")</f>
        <v>0.77083333333333326</v>
      </c>
      <c r="H72" s="16">
        <f>MROUND(MasterTable[[#This Row],[End Time]], "0:15")</f>
        <v>0.82291666666666663</v>
      </c>
      <c r="I72" s="16">
        <f>MasterTable[[#This Row],[Start Time]]-MasterTable[[#This Row],[Travel Time]]</f>
        <v>0.76111111111111118</v>
      </c>
      <c r="J72" s="16">
        <f>MROUND(MasterTable[[#This Row],[Travel ST]], "0:15")</f>
        <v>0.76041666666666663</v>
      </c>
      <c r="K72" s="13">
        <f>(MasterTable[[#This Row],[Start Time Adj]]-MasterTable[[#This Row],[Rd Travel ST]])*96</f>
        <v>0.99999999999999645</v>
      </c>
      <c r="L72" s="13">
        <f>(MasterTable[[#This Row],[End Time Adj]]-MasterTable[[#This Row],[Start Time Adj]])*96</f>
        <v>5.0000000000000036</v>
      </c>
      <c r="M72" s="13">
        <f>(MasterTable[[#This Row],[End Time Adj]]-MasterTable[[#This Row],[Rd Travel ST]])*96</f>
        <v>6</v>
      </c>
      <c r="N72" s="37">
        <v>1.1111111111111112E-2</v>
      </c>
      <c r="O72" s="13" t="s">
        <v>33</v>
      </c>
      <c r="P72" s="35">
        <f>MasterTable[[#This Row],[Daily E HL2]]/4</f>
        <v>1.2500000000000009</v>
      </c>
    </row>
    <row r="73" spans="1:16">
      <c r="A73" s="13" t="s">
        <v>172</v>
      </c>
      <c r="B73" t="s">
        <v>110</v>
      </c>
      <c r="C73" s="14" t="s">
        <v>32</v>
      </c>
      <c r="D73" s="14">
        <v>46779</v>
      </c>
      <c r="E73" s="16">
        <v>0.77222222222222225</v>
      </c>
      <c r="F73" s="16">
        <v>0.82500000000000007</v>
      </c>
      <c r="G73" s="16">
        <f>MROUND(MasterTable[[#This Row],[Start Time]],"0:15")</f>
        <v>0.77083333333333326</v>
      </c>
      <c r="H73" s="16">
        <f>MROUND(MasterTable[[#This Row],[End Time]], "0:15")</f>
        <v>0.82291666666666663</v>
      </c>
      <c r="I73" s="16">
        <f>MasterTable[[#This Row],[Start Time]]-MasterTable[[#This Row],[Travel Time]]</f>
        <v>0.76111111111111118</v>
      </c>
      <c r="J73" s="16">
        <f>MROUND(MasterTable[[#This Row],[Travel ST]], "0:15")</f>
        <v>0.76041666666666663</v>
      </c>
      <c r="K73" s="13">
        <f>(MasterTable[[#This Row],[Start Time Adj]]-MasterTable[[#This Row],[Rd Travel ST]])*96</f>
        <v>0.99999999999999645</v>
      </c>
      <c r="L73" s="13">
        <f>(MasterTable[[#This Row],[End Time Adj]]-MasterTable[[#This Row],[Start Time Adj]])*96</f>
        <v>5.0000000000000036</v>
      </c>
      <c r="M73" s="13">
        <f>(MasterTable[[#This Row],[End Time Adj]]-MasterTable[[#This Row],[Rd Travel ST]])*96</f>
        <v>6</v>
      </c>
      <c r="N73" s="37">
        <v>1.1111111111111112E-2</v>
      </c>
      <c r="O73" s="13" t="s">
        <v>33</v>
      </c>
      <c r="P73" s="35">
        <f>MasterTable[[#This Row],[Daily E HL2]]/4</f>
        <v>1.2500000000000009</v>
      </c>
    </row>
    <row r="74" spans="1:16">
      <c r="A74" s="13" t="s">
        <v>173</v>
      </c>
      <c r="B74" t="s">
        <v>110</v>
      </c>
      <c r="C74" s="14" t="s">
        <v>32</v>
      </c>
      <c r="D74" s="14">
        <v>46809</v>
      </c>
      <c r="E74" s="16">
        <v>0.77222222222222225</v>
      </c>
      <c r="F74" s="16">
        <v>0.82500000000000007</v>
      </c>
      <c r="G74" s="16">
        <f>MROUND(MasterTable[[#This Row],[Start Time]],"0:15")</f>
        <v>0.77083333333333326</v>
      </c>
      <c r="H74" s="16">
        <f>MROUND(MasterTable[[#This Row],[End Time]], "0:15")</f>
        <v>0.82291666666666663</v>
      </c>
      <c r="I74" s="16">
        <f>MasterTable[[#This Row],[Start Time]]-MasterTable[[#This Row],[Travel Time]]</f>
        <v>0.76111111111111118</v>
      </c>
      <c r="J74" s="16">
        <f>MROUND(MasterTable[[#This Row],[Travel ST]], "0:15")</f>
        <v>0.76041666666666663</v>
      </c>
      <c r="K74" s="13">
        <f>(MasterTable[[#This Row],[Start Time Adj]]-MasterTable[[#This Row],[Rd Travel ST]])*96</f>
        <v>0.99999999999999645</v>
      </c>
      <c r="L74" s="13">
        <f>(MasterTable[[#This Row],[End Time Adj]]-MasterTable[[#This Row],[Start Time Adj]])*96</f>
        <v>5.0000000000000036</v>
      </c>
      <c r="M74" s="13">
        <f>(MasterTable[[#This Row],[End Time Adj]]-MasterTable[[#This Row],[Rd Travel ST]])*96</f>
        <v>6</v>
      </c>
      <c r="N74" s="37">
        <v>1.1111111111111112E-2</v>
      </c>
      <c r="O74" s="13" t="s">
        <v>33</v>
      </c>
      <c r="P74" s="35">
        <f>MasterTable[[#This Row],[Daily E HL2]]/4</f>
        <v>1.2500000000000009</v>
      </c>
    </row>
    <row r="75" spans="1:16">
      <c r="A75" s="13" t="s">
        <v>174</v>
      </c>
      <c r="B75" t="s">
        <v>110</v>
      </c>
      <c r="C75" s="14" t="s">
        <v>32</v>
      </c>
      <c r="D75" s="14">
        <v>46839</v>
      </c>
      <c r="E75" s="16">
        <v>0.77222222222222225</v>
      </c>
      <c r="F75" s="16">
        <v>0.82500000000000007</v>
      </c>
      <c r="G75" s="16">
        <f>MROUND(MasterTable[[#This Row],[Start Time]],"0:15")</f>
        <v>0.77083333333333326</v>
      </c>
      <c r="H75" s="16">
        <f>MROUND(MasterTable[[#This Row],[End Time]], "0:15")</f>
        <v>0.82291666666666663</v>
      </c>
      <c r="I75" s="16">
        <f>MasterTable[[#This Row],[Start Time]]-MasterTable[[#This Row],[Travel Time]]</f>
        <v>0.76111111111111118</v>
      </c>
      <c r="J75" s="16">
        <f>MROUND(MasterTable[[#This Row],[Travel ST]], "0:15")</f>
        <v>0.76041666666666663</v>
      </c>
      <c r="K75" s="13">
        <f>(MasterTable[[#This Row],[Start Time Adj]]-MasterTable[[#This Row],[Rd Travel ST]])*96</f>
        <v>0.99999999999999645</v>
      </c>
      <c r="L75" s="13">
        <f>(MasterTable[[#This Row],[End Time Adj]]-MasterTable[[#This Row],[Start Time Adj]])*96</f>
        <v>5.0000000000000036</v>
      </c>
      <c r="M75" s="13">
        <f>(MasterTable[[#This Row],[End Time Adj]]-MasterTable[[#This Row],[Rd Travel ST]])*96</f>
        <v>6</v>
      </c>
      <c r="N75" s="37">
        <v>1.1111111111111112E-2</v>
      </c>
      <c r="O75" s="13" t="s">
        <v>33</v>
      </c>
      <c r="P75" s="35">
        <f>MasterTable[[#This Row],[Daily E HL2]]/4</f>
        <v>1.2500000000000009</v>
      </c>
    </row>
    <row r="76" spans="1:16">
      <c r="A76" s="13" t="s">
        <v>175</v>
      </c>
      <c r="B76" t="s">
        <v>110</v>
      </c>
      <c r="C76" s="14" t="s">
        <v>32</v>
      </c>
      <c r="D76" s="14">
        <v>46869</v>
      </c>
      <c r="E76" s="16">
        <v>0.77222222222222225</v>
      </c>
      <c r="F76" s="16">
        <v>0.82500000000000007</v>
      </c>
      <c r="G76" s="16">
        <f>MROUND(MasterTable[[#This Row],[Start Time]],"0:15")</f>
        <v>0.77083333333333326</v>
      </c>
      <c r="H76" s="16">
        <f>MROUND(MasterTable[[#This Row],[End Time]], "0:15")</f>
        <v>0.82291666666666663</v>
      </c>
      <c r="I76" s="16">
        <f>MasterTable[[#This Row],[Start Time]]-MasterTable[[#This Row],[Travel Time]]</f>
        <v>0.76111111111111118</v>
      </c>
      <c r="J76" s="16">
        <f>MROUND(MasterTable[[#This Row],[Travel ST]], "0:15")</f>
        <v>0.76041666666666663</v>
      </c>
      <c r="K76" s="13">
        <f>(MasterTable[[#This Row],[Start Time Adj]]-MasterTable[[#This Row],[Rd Travel ST]])*96</f>
        <v>0.99999999999999645</v>
      </c>
      <c r="L76" s="13">
        <f>(MasterTable[[#This Row],[End Time Adj]]-MasterTable[[#This Row],[Start Time Adj]])*96</f>
        <v>5.0000000000000036</v>
      </c>
      <c r="M76" s="13">
        <f>(MasterTable[[#This Row],[End Time Adj]]-MasterTable[[#This Row],[Rd Travel ST]])*96</f>
        <v>6</v>
      </c>
      <c r="N76" s="37">
        <v>1.1111111111111112E-2</v>
      </c>
      <c r="O76" s="13" t="s">
        <v>33</v>
      </c>
      <c r="P76" s="35">
        <f>MasterTable[[#This Row],[Daily E HL2]]/4</f>
        <v>1.2500000000000009</v>
      </c>
    </row>
    <row r="77" spans="1:16">
      <c r="A77" s="13" t="s">
        <v>176</v>
      </c>
      <c r="B77" t="s">
        <v>110</v>
      </c>
      <c r="C77" s="14" t="s">
        <v>32</v>
      </c>
      <c r="D77" s="14">
        <v>46899</v>
      </c>
      <c r="E77" s="16">
        <v>0.77222222222222225</v>
      </c>
      <c r="F77" s="16">
        <v>0.82500000000000007</v>
      </c>
      <c r="G77" s="16">
        <f>MROUND(MasterTable[[#This Row],[Start Time]],"0:15")</f>
        <v>0.77083333333333326</v>
      </c>
      <c r="H77" s="16">
        <f>MROUND(MasterTable[[#This Row],[End Time]], "0:15")</f>
        <v>0.82291666666666663</v>
      </c>
      <c r="I77" s="16">
        <f>MasterTable[[#This Row],[Start Time]]-MasterTable[[#This Row],[Travel Time]]</f>
        <v>0.76111111111111118</v>
      </c>
      <c r="J77" s="16">
        <f>MROUND(MasterTable[[#This Row],[Travel ST]], "0:15")</f>
        <v>0.76041666666666663</v>
      </c>
      <c r="K77" s="13">
        <f>(MasterTable[[#This Row],[Start Time Adj]]-MasterTable[[#This Row],[Rd Travel ST]])*96</f>
        <v>0.99999999999999645</v>
      </c>
      <c r="L77" s="13">
        <f>(MasterTable[[#This Row],[End Time Adj]]-MasterTable[[#This Row],[Start Time Adj]])*96</f>
        <v>5.0000000000000036</v>
      </c>
      <c r="M77" s="13">
        <f>(MasterTable[[#This Row],[End Time Adj]]-MasterTable[[#This Row],[Rd Travel ST]])*96</f>
        <v>6</v>
      </c>
      <c r="N77" s="37">
        <v>1.1111111111111112E-2</v>
      </c>
      <c r="O77" s="13" t="s">
        <v>33</v>
      </c>
      <c r="P77" s="35">
        <f>MasterTable[[#This Row],[Daily E HL2]]/4</f>
        <v>1.2500000000000009</v>
      </c>
    </row>
    <row r="78" spans="1:16">
      <c r="A78" s="13" t="s">
        <v>177</v>
      </c>
      <c r="B78" t="s">
        <v>110</v>
      </c>
      <c r="C78" s="14" t="s">
        <v>32</v>
      </c>
      <c r="D78" s="14">
        <v>46929</v>
      </c>
      <c r="E78" s="16">
        <v>0.77222222222222225</v>
      </c>
      <c r="F78" s="16">
        <v>0.82500000000000007</v>
      </c>
      <c r="G78" s="16">
        <f>MROUND(MasterTable[[#This Row],[Start Time]],"0:15")</f>
        <v>0.77083333333333326</v>
      </c>
      <c r="H78" s="16">
        <f>MROUND(MasterTable[[#This Row],[End Time]], "0:15")</f>
        <v>0.82291666666666663</v>
      </c>
      <c r="I78" s="16">
        <f>MasterTable[[#This Row],[Start Time]]-MasterTable[[#This Row],[Travel Time]]</f>
        <v>0.76111111111111118</v>
      </c>
      <c r="J78" s="16">
        <f>MROUND(MasterTable[[#This Row],[Travel ST]], "0:15")</f>
        <v>0.76041666666666663</v>
      </c>
      <c r="K78" s="13">
        <f>(MasterTable[[#This Row],[Start Time Adj]]-MasterTable[[#This Row],[Rd Travel ST]])*96</f>
        <v>0.99999999999999645</v>
      </c>
      <c r="L78" s="13">
        <f>(MasterTable[[#This Row],[End Time Adj]]-MasterTable[[#This Row],[Start Time Adj]])*96</f>
        <v>5.0000000000000036</v>
      </c>
      <c r="M78" s="13">
        <f>(MasterTable[[#This Row],[End Time Adj]]-MasterTable[[#This Row],[Rd Travel ST]])*96</f>
        <v>6</v>
      </c>
      <c r="N78" s="37">
        <v>1.1111111111111112E-2</v>
      </c>
      <c r="O78" s="13" t="s">
        <v>33</v>
      </c>
      <c r="P78" s="35">
        <f>MasterTable[[#This Row],[Daily E HL2]]/4</f>
        <v>1.2500000000000009</v>
      </c>
    </row>
    <row r="79" spans="1:16">
      <c r="A79" s="13" t="s">
        <v>178</v>
      </c>
      <c r="B79" t="s">
        <v>110</v>
      </c>
      <c r="C79" s="14" t="s">
        <v>32</v>
      </c>
      <c r="D79" s="14">
        <v>46959</v>
      </c>
      <c r="E79" s="16">
        <v>0.77222222222222225</v>
      </c>
      <c r="F79" s="16">
        <v>0.82500000000000007</v>
      </c>
      <c r="G79" s="16">
        <f>MROUND(MasterTable[[#This Row],[Start Time]],"0:15")</f>
        <v>0.77083333333333326</v>
      </c>
      <c r="H79" s="16">
        <f>MROUND(MasterTable[[#This Row],[End Time]], "0:15")</f>
        <v>0.82291666666666663</v>
      </c>
      <c r="I79" s="16">
        <f>MasterTable[[#This Row],[Start Time]]-MasterTable[[#This Row],[Travel Time]]</f>
        <v>0.76111111111111118</v>
      </c>
      <c r="J79" s="16">
        <f>MROUND(MasterTable[[#This Row],[Travel ST]], "0:15")</f>
        <v>0.76041666666666663</v>
      </c>
      <c r="K79" s="13">
        <f>(MasterTable[[#This Row],[Start Time Adj]]-MasterTable[[#This Row],[Rd Travel ST]])*96</f>
        <v>0.99999999999999645</v>
      </c>
      <c r="L79" s="13">
        <f>(MasterTable[[#This Row],[End Time Adj]]-MasterTable[[#This Row],[Start Time Adj]])*96</f>
        <v>5.0000000000000036</v>
      </c>
      <c r="M79" s="13">
        <f>(MasterTable[[#This Row],[End Time Adj]]-MasterTable[[#This Row],[Rd Travel ST]])*96</f>
        <v>6</v>
      </c>
      <c r="N79" s="37">
        <v>1.1111111111111112E-2</v>
      </c>
      <c r="O79" s="13" t="s">
        <v>33</v>
      </c>
      <c r="P79" s="35">
        <f>MasterTable[[#This Row],[Daily E HL2]]/4</f>
        <v>1.2500000000000009</v>
      </c>
    </row>
    <row r="80" spans="1:16">
      <c r="A80" s="13" t="s">
        <v>179</v>
      </c>
      <c r="B80" t="s">
        <v>110</v>
      </c>
      <c r="C80" s="14" t="s">
        <v>32</v>
      </c>
      <c r="D80" s="14">
        <v>46989</v>
      </c>
      <c r="E80" s="16">
        <v>0.77222222222222225</v>
      </c>
      <c r="F80" s="16">
        <v>0.82500000000000007</v>
      </c>
      <c r="G80" s="16">
        <f>MROUND(MasterTable[[#This Row],[Start Time]],"0:15")</f>
        <v>0.77083333333333326</v>
      </c>
      <c r="H80" s="16">
        <f>MROUND(MasterTable[[#This Row],[End Time]], "0:15")</f>
        <v>0.82291666666666663</v>
      </c>
      <c r="I80" s="16">
        <f>MasterTable[[#This Row],[Start Time]]-MasterTable[[#This Row],[Travel Time]]</f>
        <v>0.76111111111111118</v>
      </c>
      <c r="J80" s="16">
        <f>MROUND(MasterTable[[#This Row],[Travel ST]], "0:15")</f>
        <v>0.76041666666666663</v>
      </c>
      <c r="K80" s="13">
        <f>(MasterTable[[#This Row],[Start Time Adj]]-MasterTable[[#This Row],[Rd Travel ST]])*96</f>
        <v>0.99999999999999645</v>
      </c>
      <c r="L80" s="13">
        <f>(MasterTable[[#This Row],[End Time Adj]]-MasterTable[[#This Row],[Start Time Adj]])*96</f>
        <v>5.0000000000000036</v>
      </c>
      <c r="M80" s="13">
        <f>(MasterTable[[#This Row],[End Time Adj]]-MasterTable[[#This Row],[Rd Travel ST]])*96</f>
        <v>6</v>
      </c>
      <c r="N80" s="37">
        <v>1.1111111111111112E-2</v>
      </c>
      <c r="O80" s="13" t="s">
        <v>33</v>
      </c>
      <c r="P80" s="35">
        <f>MasterTable[[#This Row],[Daily E HL2]]/4</f>
        <v>1.2500000000000009</v>
      </c>
    </row>
    <row r="81" spans="1:16">
      <c r="A81" s="13" t="s">
        <v>180</v>
      </c>
      <c r="B81" t="s">
        <v>110</v>
      </c>
      <c r="C81" s="14" t="s">
        <v>32</v>
      </c>
      <c r="D81" s="14">
        <v>47019</v>
      </c>
      <c r="E81" s="16">
        <v>0.77222222222222225</v>
      </c>
      <c r="F81" s="16">
        <v>0.82500000000000007</v>
      </c>
      <c r="G81" s="16">
        <f>MROUND(MasterTable[[#This Row],[Start Time]],"0:15")</f>
        <v>0.77083333333333326</v>
      </c>
      <c r="H81" s="16">
        <f>MROUND(MasterTable[[#This Row],[End Time]], "0:15")</f>
        <v>0.82291666666666663</v>
      </c>
      <c r="I81" s="16">
        <f>MasterTable[[#This Row],[Start Time]]-MasterTable[[#This Row],[Travel Time]]</f>
        <v>0.76111111111111118</v>
      </c>
      <c r="J81" s="16">
        <f>MROUND(MasterTable[[#This Row],[Travel ST]], "0:15")</f>
        <v>0.76041666666666663</v>
      </c>
      <c r="K81" s="13">
        <f>(MasterTable[[#This Row],[Start Time Adj]]-MasterTable[[#This Row],[Rd Travel ST]])*96</f>
        <v>0.99999999999999645</v>
      </c>
      <c r="L81" s="13">
        <f>(MasterTable[[#This Row],[End Time Adj]]-MasterTable[[#This Row],[Start Time Adj]])*96</f>
        <v>5.0000000000000036</v>
      </c>
      <c r="M81" s="13">
        <f>(MasterTable[[#This Row],[End Time Adj]]-MasterTable[[#This Row],[Rd Travel ST]])*96</f>
        <v>6</v>
      </c>
      <c r="N81" s="37">
        <v>1.1111111111111112E-2</v>
      </c>
      <c r="O81" s="13" t="s">
        <v>33</v>
      </c>
      <c r="P81" s="35">
        <f>MasterTable[[#This Row],[Daily E HL2]]/4</f>
        <v>1.2500000000000009</v>
      </c>
    </row>
    <row r="82" spans="1:16">
      <c r="A82" s="13" t="s">
        <v>181</v>
      </c>
      <c r="B82" t="s">
        <v>110</v>
      </c>
      <c r="C82" s="14" t="s">
        <v>32</v>
      </c>
      <c r="D82" s="14">
        <v>47049</v>
      </c>
      <c r="E82" s="16">
        <v>0.77222222222222225</v>
      </c>
      <c r="F82" s="16">
        <v>0.82500000000000007</v>
      </c>
      <c r="G82" s="16">
        <f>MROUND(MasterTable[[#This Row],[Start Time]],"0:15")</f>
        <v>0.77083333333333326</v>
      </c>
      <c r="H82" s="16">
        <f>MROUND(MasterTable[[#This Row],[End Time]], "0:15")</f>
        <v>0.82291666666666663</v>
      </c>
      <c r="I82" s="16">
        <f>MasterTable[[#This Row],[Start Time]]-MasterTable[[#This Row],[Travel Time]]</f>
        <v>0.76111111111111118</v>
      </c>
      <c r="J82" s="16">
        <f>MROUND(MasterTable[[#This Row],[Travel ST]], "0:15")</f>
        <v>0.76041666666666663</v>
      </c>
      <c r="K82" s="13">
        <f>(MasterTable[[#This Row],[Start Time Adj]]-MasterTable[[#This Row],[Rd Travel ST]])*96</f>
        <v>0.99999999999999645</v>
      </c>
      <c r="L82" s="13">
        <f>(MasterTable[[#This Row],[End Time Adj]]-MasterTable[[#This Row],[Start Time Adj]])*96</f>
        <v>5.0000000000000036</v>
      </c>
      <c r="M82" s="13">
        <f>(MasterTable[[#This Row],[End Time Adj]]-MasterTable[[#This Row],[Rd Travel ST]])*96</f>
        <v>6</v>
      </c>
      <c r="N82" s="37">
        <v>1.1111111111111112E-2</v>
      </c>
      <c r="O82" s="13" t="s">
        <v>33</v>
      </c>
      <c r="P82" s="35">
        <f>MasterTable[[#This Row],[Daily E HL2]]/4</f>
        <v>1.2500000000000009</v>
      </c>
    </row>
    <row r="83" spans="1:16">
      <c r="A83" s="13" t="s">
        <v>182</v>
      </c>
      <c r="B83" t="s">
        <v>110</v>
      </c>
      <c r="C83" s="14" t="s">
        <v>32</v>
      </c>
      <c r="D83" s="14">
        <v>47079</v>
      </c>
      <c r="E83" s="16">
        <v>0.77222222222222225</v>
      </c>
      <c r="F83" s="16">
        <v>0.82500000000000007</v>
      </c>
      <c r="G83" s="16">
        <f>MROUND(MasterTable[[#This Row],[Start Time]],"0:15")</f>
        <v>0.77083333333333326</v>
      </c>
      <c r="H83" s="16">
        <f>MROUND(MasterTable[[#This Row],[End Time]], "0:15")</f>
        <v>0.82291666666666663</v>
      </c>
      <c r="I83" s="16">
        <f>MasterTable[[#This Row],[Start Time]]-MasterTable[[#This Row],[Travel Time]]</f>
        <v>0.76111111111111118</v>
      </c>
      <c r="J83" s="16">
        <f>MROUND(MasterTable[[#This Row],[Travel ST]], "0:15")</f>
        <v>0.76041666666666663</v>
      </c>
      <c r="K83" s="13">
        <f>(MasterTable[[#This Row],[Start Time Adj]]-MasterTable[[#This Row],[Rd Travel ST]])*96</f>
        <v>0.99999999999999645</v>
      </c>
      <c r="L83" s="13">
        <f>(MasterTable[[#This Row],[End Time Adj]]-MasterTable[[#This Row],[Start Time Adj]])*96</f>
        <v>5.0000000000000036</v>
      </c>
      <c r="M83" s="13">
        <f>(MasterTable[[#This Row],[End Time Adj]]-MasterTable[[#This Row],[Rd Travel ST]])*96</f>
        <v>6</v>
      </c>
      <c r="N83" s="37">
        <v>1.1111111111111112E-2</v>
      </c>
      <c r="O83" s="13" t="s">
        <v>33</v>
      </c>
      <c r="P83" s="35">
        <f>MasterTable[[#This Row],[Daily E HL2]]/4</f>
        <v>1.2500000000000009</v>
      </c>
    </row>
    <row r="84" spans="1:16">
      <c r="A84" s="13" t="s">
        <v>183</v>
      </c>
      <c r="B84" t="s">
        <v>110</v>
      </c>
      <c r="C84" s="14" t="s">
        <v>32</v>
      </c>
      <c r="D84" s="14">
        <v>47109</v>
      </c>
      <c r="E84" s="16">
        <v>0.77222222222222225</v>
      </c>
      <c r="F84" s="16">
        <v>0.82500000000000007</v>
      </c>
      <c r="G84" s="16">
        <f>MROUND(MasterTable[[#This Row],[Start Time]],"0:15")</f>
        <v>0.77083333333333326</v>
      </c>
      <c r="H84" s="16">
        <f>MROUND(MasterTable[[#This Row],[End Time]], "0:15")</f>
        <v>0.82291666666666663</v>
      </c>
      <c r="I84" s="16">
        <f>MasterTable[[#This Row],[Start Time]]-MasterTable[[#This Row],[Travel Time]]</f>
        <v>0.76111111111111118</v>
      </c>
      <c r="J84" s="16">
        <f>MROUND(MasterTable[[#This Row],[Travel ST]], "0:15")</f>
        <v>0.76041666666666663</v>
      </c>
      <c r="K84" s="13">
        <f>(MasterTable[[#This Row],[Start Time Adj]]-MasterTable[[#This Row],[Rd Travel ST]])*96</f>
        <v>0.99999999999999645</v>
      </c>
      <c r="L84" s="13">
        <f>(MasterTable[[#This Row],[End Time Adj]]-MasterTable[[#This Row],[Start Time Adj]])*96</f>
        <v>5.0000000000000036</v>
      </c>
      <c r="M84" s="13">
        <f>(MasterTable[[#This Row],[End Time Adj]]-MasterTable[[#This Row],[Rd Travel ST]])*96</f>
        <v>6</v>
      </c>
      <c r="N84" s="37">
        <v>1.1111111111111112E-2</v>
      </c>
      <c r="O84" s="13" t="s">
        <v>33</v>
      </c>
      <c r="P84" s="35">
        <f>MasterTable[[#This Row],[Daily E HL2]]/4</f>
        <v>1.2500000000000009</v>
      </c>
    </row>
    <row r="85" spans="1:16">
      <c r="A85" s="13" t="s">
        <v>184</v>
      </c>
      <c r="B85" t="s">
        <v>110</v>
      </c>
      <c r="C85" s="14" t="s">
        <v>32</v>
      </c>
      <c r="D85" s="14">
        <v>47139</v>
      </c>
      <c r="E85" s="16">
        <v>0.77222222222222225</v>
      </c>
      <c r="F85" s="16">
        <v>0.82500000000000007</v>
      </c>
      <c r="G85" s="16">
        <f>MROUND(MasterTable[[#This Row],[Start Time]],"0:15")</f>
        <v>0.77083333333333326</v>
      </c>
      <c r="H85" s="16">
        <f>MROUND(MasterTable[[#This Row],[End Time]], "0:15")</f>
        <v>0.82291666666666663</v>
      </c>
      <c r="I85" s="16">
        <f>MasterTable[[#This Row],[Start Time]]-MasterTable[[#This Row],[Travel Time]]</f>
        <v>0.76111111111111118</v>
      </c>
      <c r="J85" s="16">
        <f>MROUND(MasterTable[[#This Row],[Travel ST]], "0:15")</f>
        <v>0.76041666666666663</v>
      </c>
      <c r="K85" s="13">
        <f>(MasterTable[[#This Row],[Start Time Adj]]-MasterTable[[#This Row],[Rd Travel ST]])*96</f>
        <v>0.99999999999999645</v>
      </c>
      <c r="L85" s="13">
        <f>(MasterTable[[#This Row],[End Time Adj]]-MasterTable[[#This Row],[Start Time Adj]])*96</f>
        <v>5.0000000000000036</v>
      </c>
      <c r="M85" s="13">
        <f>(MasterTable[[#This Row],[End Time Adj]]-MasterTable[[#This Row],[Rd Travel ST]])*96</f>
        <v>6</v>
      </c>
      <c r="N85" s="37">
        <v>1.1111111111111112E-2</v>
      </c>
      <c r="O85" s="13" t="s">
        <v>33</v>
      </c>
      <c r="P85" s="35">
        <f>MasterTable[[#This Row],[Daily E HL2]]/4</f>
        <v>1.2500000000000009</v>
      </c>
    </row>
    <row r="86" spans="1:16">
      <c r="A86" s="13" t="s">
        <v>185</v>
      </c>
      <c r="B86" t="s">
        <v>110</v>
      </c>
      <c r="C86" s="14" t="s">
        <v>32</v>
      </c>
      <c r="D86" s="14">
        <v>47169</v>
      </c>
      <c r="E86" s="16">
        <v>0.77222222222222225</v>
      </c>
      <c r="F86" s="16">
        <v>0.82500000000000007</v>
      </c>
      <c r="G86" s="16">
        <f>MROUND(MasterTable[[#This Row],[Start Time]],"0:15")</f>
        <v>0.77083333333333326</v>
      </c>
      <c r="H86" s="16">
        <f>MROUND(MasterTable[[#This Row],[End Time]], "0:15")</f>
        <v>0.82291666666666663</v>
      </c>
      <c r="I86" s="16">
        <f>MasterTable[[#This Row],[Start Time]]-MasterTable[[#This Row],[Travel Time]]</f>
        <v>0.76111111111111118</v>
      </c>
      <c r="J86" s="16">
        <f>MROUND(MasterTable[[#This Row],[Travel ST]], "0:15")</f>
        <v>0.76041666666666663</v>
      </c>
      <c r="K86" s="13">
        <f>(MasterTable[[#This Row],[Start Time Adj]]-MasterTable[[#This Row],[Rd Travel ST]])*96</f>
        <v>0.99999999999999645</v>
      </c>
      <c r="L86" s="13">
        <f>(MasterTable[[#This Row],[End Time Adj]]-MasterTable[[#This Row],[Start Time Adj]])*96</f>
        <v>5.0000000000000036</v>
      </c>
      <c r="M86" s="13">
        <f>(MasterTable[[#This Row],[End Time Adj]]-MasterTable[[#This Row],[Rd Travel ST]])*96</f>
        <v>6</v>
      </c>
      <c r="N86" s="37">
        <v>1.1111111111111112E-2</v>
      </c>
      <c r="O86" s="13" t="s">
        <v>33</v>
      </c>
      <c r="P86" s="35">
        <f>MasterTable[[#This Row],[Daily E HL2]]/4</f>
        <v>1.2500000000000009</v>
      </c>
    </row>
    <row r="87" spans="1:16">
      <c r="A87" s="13" t="s">
        <v>186</v>
      </c>
      <c r="B87" t="s">
        <v>110</v>
      </c>
      <c r="C87" s="14" t="s">
        <v>32</v>
      </c>
      <c r="D87" s="14">
        <v>47199</v>
      </c>
      <c r="E87" s="16">
        <v>0.77222222222222225</v>
      </c>
      <c r="F87" s="16">
        <v>0.82500000000000007</v>
      </c>
      <c r="G87" s="16">
        <f>MROUND(MasterTable[[#This Row],[Start Time]],"0:15")</f>
        <v>0.77083333333333326</v>
      </c>
      <c r="H87" s="16">
        <f>MROUND(MasterTable[[#This Row],[End Time]], "0:15")</f>
        <v>0.82291666666666663</v>
      </c>
      <c r="I87" s="16">
        <f>MasterTable[[#This Row],[Start Time]]-MasterTable[[#This Row],[Travel Time]]</f>
        <v>0.76111111111111118</v>
      </c>
      <c r="J87" s="16">
        <f>MROUND(MasterTable[[#This Row],[Travel ST]], "0:15")</f>
        <v>0.76041666666666663</v>
      </c>
      <c r="K87" s="13">
        <f>(MasterTable[[#This Row],[Start Time Adj]]-MasterTable[[#This Row],[Rd Travel ST]])*96</f>
        <v>0.99999999999999645</v>
      </c>
      <c r="L87" s="13">
        <f>(MasterTable[[#This Row],[End Time Adj]]-MasterTable[[#This Row],[Start Time Adj]])*96</f>
        <v>5.0000000000000036</v>
      </c>
      <c r="M87" s="13">
        <f>(MasterTable[[#This Row],[End Time Adj]]-MasterTable[[#This Row],[Rd Travel ST]])*96</f>
        <v>6</v>
      </c>
      <c r="N87" s="37">
        <v>1.1111111111111112E-2</v>
      </c>
      <c r="O87" s="13" t="s">
        <v>33</v>
      </c>
      <c r="P87" s="35">
        <f>MasterTable[[#This Row],[Daily E HL2]]/4</f>
        <v>1.2500000000000009</v>
      </c>
    </row>
    <row r="88" spans="1:16">
      <c r="A88" s="13" t="s">
        <v>187</v>
      </c>
      <c r="B88" t="s">
        <v>110</v>
      </c>
      <c r="C88" s="14" t="s">
        <v>32</v>
      </c>
      <c r="D88" s="14">
        <v>47229</v>
      </c>
      <c r="E88" s="16">
        <v>0.77222222222222225</v>
      </c>
      <c r="F88" s="16">
        <v>0.82500000000000007</v>
      </c>
      <c r="G88" s="16">
        <f>MROUND(MasterTable[[#This Row],[Start Time]],"0:15")</f>
        <v>0.77083333333333326</v>
      </c>
      <c r="H88" s="16">
        <f>MROUND(MasterTable[[#This Row],[End Time]], "0:15")</f>
        <v>0.82291666666666663</v>
      </c>
      <c r="I88" s="16">
        <f>MasterTable[[#This Row],[Start Time]]-MasterTable[[#This Row],[Travel Time]]</f>
        <v>0.76111111111111118</v>
      </c>
      <c r="J88" s="16">
        <f>MROUND(MasterTable[[#This Row],[Travel ST]], "0:15")</f>
        <v>0.76041666666666663</v>
      </c>
      <c r="K88" s="13">
        <f>(MasterTable[[#This Row],[Start Time Adj]]-MasterTable[[#This Row],[Rd Travel ST]])*96</f>
        <v>0.99999999999999645</v>
      </c>
      <c r="L88" s="13">
        <f>(MasterTable[[#This Row],[End Time Adj]]-MasterTable[[#This Row],[Start Time Adj]])*96</f>
        <v>5.0000000000000036</v>
      </c>
      <c r="M88" s="13">
        <f>(MasterTable[[#This Row],[End Time Adj]]-MasterTable[[#This Row],[Rd Travel ST]])*96</f>
        <v>6</v>
      </c>
      <c r="N88" s="37">
        <v>1.1111111111111112E-2</v>
      </c>
      <c r="O88" s="13" t="s">
        <v>33</v>
      </c>
      <c r="P88" s="35">
        <f>MasterTable[[#This Row],[Daily E HL2]]/4</f>
        <v>1.2500000000000009</v>
      </c>
    </row>
    <row r="89" spans="1:16">
      <c r="A89" s="13" t="s">
        <v>188</v>
      </c>
      <c r="B89" t="s">
        <v>110</v>
      </c>
      <c r="C89" s="14" t="s">
        <v>32</v>
      </c>
      <c r="D89" s="14">
        <v>47259</v>
      </c>
      <c r="E89" s="16">
        <v>0.77222222222222225</v>
      </c>
      <c r="F89" s="16">
        <v>0.82500000000000007</v>
      </c>
      <c r="G89" s="16">
        <f>MROUND(MasterTable[[#This Row],[Start Time]],"0:15")</f>
        <v>0.77083333333333326</v>
      </c>
      <c r="H89" s="16">
        <f>MROUND(MasterTable[[#This Row],[End Time]], "0:15")</f>
        <v>0.82291666666666663</v>
      </c>
      <c r="I89" s="16">
        <f>MasterTable[[#This Row],[Start Time]]-MasterTable[[#This Row],[Travel Time]]</f>
        <v>0.76111111111111118</v>
      </c>
      <c r="J89" s="16">
        <f>MROUND(MasterTable[[#This Row],[Travel ST]], "0:15")</f>
        <v>0.76041666666666663</v>
      </c>
      <c r="K89" s="13">
        <f>(MasterTable[[#This Row],[Start Time Adj]]-MasterTable[[#This Row],[Rd Travel ST]])*96</f>
        <v>0.99999999999999645</v>
      </c>
      <c r="L89" s="13">
        <f>(MasterTable[[#This Row],[End Time Adj]]-MasterTable[[#This Row],[Start Time Adj]])*96</f>
        <v>5.0000000000000036</v>
      </c>
      <c r="M89" s="13">
        <f>(MasterTable[[#This Row],[End Time Adj]]-MasterTable[[#This Row],[Rd Travel ST]])*96</f>
        <v>6</v>
      </c>
      <c r="N89" s="37">
        <v>1.1111111111111112E-2</v>
      </c>
      <c r="O89" s="13" t="s">
        <v>33</v>
      </c>
      <c r="P89" s="35">
        <f>MasterTable[[#This Row],[Daily E HL2]]/4</f>
        <v>1.2500000000000009</v>
      </c>
    </row>
    <row r="90" spans="1:16">
      <c r="A90" s="13" t="s">
        <v>189</v>
      </c>
      <c r="B90" t="s">
        <v>110</v>
      </c>
      <c r="C90" s="14" t="s">
        <v>32</v>
      </c>
      <c r="D90" s="14">
        <v>47289</v>
      </c>
      <c r="E90" s="16">
        <v>0.77222222222222225</v>
      </c>
      <c r="F90" s="16">
        <v>0.82500000000000007</v>
      </c>
      <c r="G90" s="16">
        <f>MROUND(MasterTable[[#This Row],[Start Time]],"0:15")</f>
        <v>0.77083333333333326</v>
      </c>
      <c r="H90" s="16">
        <f>MROUND(MasterTable[[#This Row],[End Time]], "0:15")</f>
        <v>0.82291666666666663</v>
      </c>
      <c r="I90" s="16">
        <f>MasterTable[[#This Row],[Start Time]]-MasterTable[[#This Row],[Travel Time]]</f>
        <v>0.76111111111111118</v>
      </c>
      <c r="J90" s="16">
        <f>MROUND(MasterTable[[#This Row],[Travel ST]], "0:15")</f>
        <v>0.76041666666666663</v>
      </c>
      <c r="K90" s="13">
        <f>(MasterTable[[#This Row],[Start Time Adj]]-MasterTable[[#This Row],[Rd Travel ST]])*96</f>
        <v>0.99999999999999645</v>
      </c>
      <c r="L90" s="13">
        <f>(MasterTable[[#This Row],[End Time Adj]]-MasterTable[[#This Row],[Start Time Adj]])*96</f>
        <v>5.0000000000000036</v>
      </c>
      <c r="M90" s="13">
        <f>(MasterTable[[#This Row],[End Time Adj]]-MasterTable[[#This Row],[Rd Travel ST]])*96</f>
        <v>6</v>
      </c>
      <c r="N90" s="37">
        <v>1.1111111111111112E-2</v>
      </c>
      <c r="O90" s="13" t="s">
        <v>33</v>
      </c>
      <c r="P90" s="35">
        <f>MasterTable[[#This Row],[Daily E HL2]]/4</f>
        <v>1.2500000000000009</v>
      </c>
    </row>
    <row r="91" spans="1:16">
      <c r="A91" s="13" t="s">
        <v>190</v>
      </c>
      <c r="B91" t="s">
        <v>110</v>
      </c>
      <c r="C91" s="14" t="s">
        <v>32</v>
      </c>
      <c r="D91" s="14">
        <v>47319</v>
      </c>
      <c r="E91" s="16">
        <v>0.77222222222222225</v>
      </c>
      <c r="F91" s="16">
        <v>0.82500000000000007</v>
      </c>
      <c r="G91" s="16">
        <f>MROUND(MasterTable[[#This Row],[Start Time]],"0:15")</f>
        <v>0.77083333333333326</v>
      </c>
      <c r="H91" s="16">
        <f>MROUND(MasterTable[[#This Row],[End Time]], "0:15")</f>
        <v>0.82291666666666663</v>
      </c>
      <c r="I91" s="16">
        <f>MasterTable[[#This Row],[Start Time]]-MasterTable[[#This Row],[Travel Time]]</f>
        <v>0.76111111111111118</v>
      </c>
      <c r="J91" s="16">
        <f>MROUND(MasterTable[[#This Row],[Travel ST]], "0:15")</f>
        <v>0.76041666666666663</v>
      </c>
      <c r="K91" s="13">
        <f>(MasterTable[[#This Row],[Start Time Adj]]-MasterTable[[#This Row],[Rd Travel ST]])*96</f>
        <v>0.99999999999999645</v>
      </c>
      <c r="L91" s="13">
        <f>(MasterTable[[#This Row],[End Time Adj]]-MasterTable[[#This Row],[Start Time Adj]])*96</f>
        <v>5.0000000000000036</v>
      </c>
      <c r="M91" s="13">
        <f>(MasterTable[[#This Row],[End Time Adj]]-MasterTable[[#This Row],[Rd Travel ST]])*96</f>
        <v>6</v>
      </c>
      <c r="N91" s="37">
        <v>1.1111111111111112E-2</v>
      </c>
      <c r="O91" s="13" t="s">
        <v>33</v>
      </c>
      <c r="P91" s="35">
        <f>MasterTable[[#This Row],[Daily E HL2]]/4</f>
        <v>1.2500000000000009</v>
      </c>
    </row>
    <row r="92" spans="1:16">
      <c r="A92" s="13" t="s">
        <v>191</v>
      </c>
      <c r="B92" t="s">
        <v>110</v>
      </c>
      <c r="C92" s="14" t="s">
        <v>32</v>
      </c>
      <c r="D92" s="14">
        <v>47349</v>
      </c>
      <c r="E92" s="16">
        <v>0.77222222222222225</v>
      </c>
      <c r="F92" s="16">
        <v>0.82500000000000007</v>
      </c>
      <c r="G92" s="16">
        <f>MROUND(MasterTable[[#This Row],[Start Time]],"0:15")</f>
        <v>0.77083333333333326</v>
      </c>
      <c r="H92" s="16">
        <f>MROUND(MasterTable[[#This Row],[End Time]], "0:15")</f>
        <v>0.82291666666666663</v>
      </c>
      <c r="I92" s="16">
        <f>MasterTable[[#This Row],[Start Time]]-MasterTable[[#This Row],[Travel Time]]</f>
        <v>0.76111111111111118</v>
      </c>
      <c r="J92" s="16">
        <f>MROUND(MasterTable[[#This Row],[Travel ST]], "0:15")</f>
        <v>0.76041666666666663</v>
      </c>
      <c r="K92" s="13">
        <f>(MasterTable[[#This Row],[Start Time Adj]]-MasterTable[[#This Row],[Rd Travel ST]])*96</f>
        <v>0.99999999999999645</v>
      </c>
      <c r="L92" s="13">
        <f>(MasterTable[[#This Row],[End Time Adj]]-MasterTable[[#This Row],[Start Time Adj]])*96</f>
        <v>5.0000000000000036</v>
      </c>
      <c r="M92" s="13">
        <f>(MasterTable[[#This Row],[End Time Adj]]-MasterTable[[#This Row],[Rd Travel ST]])*96</f>
        <v>6</v>
      </c>
      <c r="N92" s="37">
        <v>1.1111111111111112E-2</v>
      </c>
      <c r="O92" s="13" t="s">
        <v>33</v>
      </c>
      <c r="P92" s="35">
        <f>MasterTable[[#This Row],[Daily E HL2]]/4</f>
        <v>1.2500000000000009</v>
      </c>
    </row>
    <row r="93" spans="1:16">
      <c r="A93" s="13" t="s">
        <v>192</v>
      </c>
      <c r="B93" t="s">
        <v>110</v>
      </c>
      <c r="C93" s="14" t="s">
        <v>32</v>
      </c>
      <c r="D93" s="14">
        <v>47379</v>
      </c>
      <c r="E93" s="16">
        <v>0.77222222222222225</v>
      </c>
      <c r="F93" s="16">
        <v>0.82500000000000007</v>
      </c>
      <c r="G93" s="16">
        <f>MROUND(MasterTable[[#This Row],[Start Time]],"0:15")</f>
        <v>0.77083333333333326</v>
      </c>
      <c r="H93" s="16">
        <f>MROUND(MasterTable[[#This Row],[End Time]], "0:15")</f>
        <v>0.82291666666666663</v>
      </c>
      <c r="I93" s="16">
        <f>MasterTable[[#This Row],[Start Time]]-MasterTable[[#This Row],[Travel Time]]</f>
        <v>0.76111111111111118</v>
      </c>
      <c r="J93" s="16">
        <f>MROUND(MasterTable[[#This Row],[Travel ST]], "0:15")</f>
        <v>0.76041666666666663</v>
      </c>
      <c r="K93" s="13">
        <f>(MasterTable[[#This Row],[Start Time Adj]]-MasterTable[[#This Row],[Rd Travel ST]])*96</f>
        <v>0.99999999999999645</v>
      </c>
      <c r="L93" s="13">
        <f>(MasterTable[[#This Row],[End Time Adj]]-MasterTable[[#This Row],[Start Time Adj]])*96</f>
        <v>5.0000000000000036</v>
      </c>
      <c r="M93" s="13">
        <f>(MasterTable[[#This Row],[End Time Adj]]-MasterTable[[#This Row],[Rd Travel ST]])*96</f>
        <v>6</v>
      </c>
      <c r="N93" s="37">
        <v>1.1111111111111112E-2</v>
      </c>
      <c r="O93" s="13" t="s">
        <v>33</v>
      </c>
      <c r="P93" s="35">
        <f>MasterTable[[#This Row],[Daily E HL2]]/4</f>
        <v>1.2500000000000009</v>
      </c>
    </row>
    <row r="94" spans="1:16">
      <c r="A94" s="13" t="s">
        <v>193</v>
      </c>
      <c r="B94" t="s">
        <v>110</v>
      </c>
      <c r="C94" s="14" t="s">
        <v>32</v>
      </c>
      <c r="D94" s="14">
        <v>47409</v>
      </c>
      <c r="E94" s="16">
        <v>0.77222222222222225</v>
      </c>
      <c r="F94" s="16">
        <v>0.82500000000000007</v>
      </c>
      <c r="G94" s="16">
        <f>MROUND(MasterTable[[#This Row],[Start Time]],"0:15")</f>
        <v>0.77083333333333326</v>
      </c>
      <c r="H94" s="16">
        <f>MROUND(MasterTable[[#This Row],[End Time]], "0:15")</f>
        <v>0.82291666666666663</v>
      </c>
      <c r="I94" s="16">
        <f>MasterTable[[#This Row],[Start Time]]-MasterTable[[#This Row],[Travel Time]]</f>
        <v>0.76111111111111118</v>
      </c>
      <c r="J94" s="16">
        <f>MROUND(MasterTable[[#This Row],[Travel ST]], "0:15")</f>
        <v>0.76041666666666663</v>
      </c>
      <c r="K94" s="13">
        <f>(MasterTable[[#This Row],[Start Time Adj]]-MasterTable[[#This Row],[Rd Travel ST]])*96</f>
        <v>0.99999999999999645</v>
      </c>
      <c r="L94" s="13">
        <f>(MasterTable[[#This Row],[End Time Adj]]-MasterTable[[#This Row],[Start Time Adj]])*96</f>
        <v>5.0000000000000036</v>
      </c>
      <c r="M94" s="13">
        <f>(MasterTable[[#This Row],[End Time Adj]]-MasterTable[[#This Row],[Rd Travel ST]])*96</f>
        <v>6</v>
      </c>
      <c r="N94" s="37">
        <v>1.1111111111111112E-2</v>
      </c>
      <c r="O94" s="13" t="s">
        <v>33</v>
      </c>
      <c r="P94" s="35">
        <f>MasterTable[[#This Row],[Daily E HL2]]/4</f>
        <v>1.2500000000000009</v>
      </c>
    </row>
    <row r="95" spans="1:16">
      <c r="A95" s="13" t="s">
        <v>194</v>
      </c>
      <c r="B95" t="s">
        <v>110</v>
      </c>
      <c r="C95" s="14" t="s">
        <v>32</v>
      </c>
      <c r="D95" s="14">
        <v>47439</v>
      </c>
      <c r="E95" s="16">
        <v>0.77222222222222225</v>
      </c>
      <c r="F95" s="16">
        <v>0.82500000000000007</v>
      </c>
      <c r="G95" s="16">
        <f>MROUND(MasterTable[[#This Row],[Start Time]],"0:15")</f>
        <v>0.77083333333333326</v>
      </c>
      <c r="H95" s="16">
        <f>MROUND(MasterTable[[#This Row],[End Time]], "0:15")</f>
        <v>0.82291666666666663</v>
      </c>
      <c r="I95" s="16">
        <f>MasterTable[[#This Row],[Start Time]]-MasterTable[[#This Row],[Travel Time]]</f>
        <v>0.76111111111111118</v>
      </c>
      <c r="J95" s="16">
        <f>MROUND(MasterTable[[#This Row],[Travel ST]], "0:15")</f>
        <v>0.76041666666666663</v>
      </c>
      <c r="K95" s="13">
        <f>(MasterTable[[#This Row],[Start Time Adj]]-MasterTable[[#This Row],[Rd Travel ST]])*96</f>
        <v>0.99999999999999645</v>
      </c>
      <c r="L95" s="13">
        <f>(MasterTable[[#This Row],[End Time Adj]]-MasterTable[[#This Row],[Start Time Adj]])*96</f>
        <v>5.0000000000000036</v>
      </c>
      <c r="M95" s="13">
        <f>(MasterTable[[#This Row],[End Time Adj]]-MasterTable[[#This Row],[Rd Travel ST]])*96</f>
        <v>6</v>
      </c>
      <c r="N95" s="37">
        <v>1.1111111111111112E-2</v>
      </c>
      <c r="O95" s="13" t="s">
        <v>33</v>
      </c>
      <c r="P95" s="35">
        <f>MasterTable[[#This Row],[Daily E HL2]]/4</f>
        <v>1.2500000000000009</v>
      </c>
    </row>
    <row r="96" spans="1:16">
      <c r="A96" s="13" t="s">
        <v>195</v>
      </c>
      <c r="B96" t="s">
        <v>110</v>
      </c>
      <c r="C96" s="14" t="s">
        <v>32</v>
      </c>
      <c r="D96" s="14">
        <v>47469</v>
      </c>
      <c r="E96" s="16">
        <v>0.77222222222222225</v>
      </c>
      <c r="F96" s="16">
        <v>0.82500000000000007</v>
      </c>
      <c r="G96" s="16">
        <f>MROUND(MasterTable[[#This Row],[Start Time]],"0:15")</f>
        <v>0.77083333333333326</v>
      </c>
      <c r="H96" s="16">
        <f>MROUND(MasterTable[[#This Row],[End Time]], "0:15")</f>
        <v>0.82291666666666663</v>
      </c>
      <c r="I96" s="16">
        <f>MasterTable[[#This Row],[Start Time]]-MasterTable[[#This Row],[Travel Time]]</f>
        <v>0.76111111111111118</v>
      </c>
      <c r="J96" s="16">
        <f>MROUND(MasterTable[[#This Row],[Travel ST]], "0:15")</f>
        <v>0.76041666666666663</v>
      </c>
      <c r="K96" s="13">
        <f>(MasterTable[[#This Row],[Start Time Adj]]-MasterTable[[#This Row],[Rd Travel ST]])*96</f>
        <v>0.99999999999999645</v>
      </c>
      <c r="L96" s="13">
        <f>(MasterTable[[#This Row],[End Time Adj]]-MasterTable[[#This Row],[Start Time Adj]])*96</f>
        <v>5.0000000000000036</v>
      </c>
      <c r="M96" s="13">
        <f>(MasterTable[[#This Row],[End Time Adj]]-MasterTable[[#This Row],[Rd Travel ST]])*96</f>
        <v>6</v>
      </c>
      <c r="N96" s="37">
        <v>1.1111111111111112E-2</v>
      </c>
      <c r="O96" s="13" t="s">
        <v>33</v>
      </c>
      <c r="P96" s="35">
        <f>MasterTable[[#This Row],[Daily E HL2]]/4</f>
        <v>1.2500000000000009</v>
      </c>
    </row>
    <row r="97" spans="1:16">
      <c r="A97" s="13" t="s">
        <v>196</v>
      </c>
      <c r="B97" t="s">
        <v>110</v>
      </c>
      <c r="C97" s="14" t="s">
        <v>32</v>
      </c>
      <c r="D97" s="14">
        <v>47499</v>
      </c>
      <c r="E97" s="16">
        <v>0.77222222222222225</v>
      </c>
      <c r="F97" s="16">
        <v>0.82500000000000007</v>
      </c>
      <c r="G97" s="16">
        <f>MROUND(MasterTable[[#This Row],[Start Time]],"0:15")</f>
        <v>0.77083333333333326</v>
      </c>
      <c r="H97" s="16">
        <f>MROUND(MasterTable[[#This Row],[End Time]], "0:15")</f>
        <v>0.82291666666666663</v>
      </c>
      <c r="I97" s="16">
        <f>MasterTable[[#This Row],[Start Time]]-MasterTable[[#This Row],[Travel Time]]</f>
        <v>0.76111111111111118</v>
      </c>
      <c r="J97" s="16">
        <f>MROUND(MasterTable[[#This Row],[Travel ST]], "0:15")</f>
        <v>0.76041666666666663</v>
      </c>
      <c r="K97" s="13">
        <f>(MasterTable[[#This Row],[Start Time Adj]]-MasterTable[[#This Row],[Rd Travel ST]])*96</f>
        <v>0.99999999999999645</v>
      </c>
      <c r="L97" s="13">
        <f>(MasterTable[[#This Row],[End Time Adj]]-MasterTable[[#This Row],[Start Time Adj]])*96</f>
        <v>5.0000000000000036</v>
      </c>
      <c r="M97" s="13">
        <f>(MasterTable[[#This Row],[End Time Adj]]-MasterTable[[#This Row],[Rd Travel ST]])*96</f>
        <v>6</v>
      </c>
      <c r="N97" s="37">
        <v>1.1111111111111112E-2</v>
      </c>
      <c r="O97" s="13" t="s">
        <v>33</v>
      </c>
      <c r="P97" s="35">
        <f>MasterTable[[#This Row],[Daily E HL2]]/4</f>
        <v>1.2500000000000009</v>
      </c>
    </row>
    <row r="98" spans="1:16">
      <c r="A98" s="13" t="s">
        <v>197</v>
      </c>
      <c r="B98" t="s">
        <v>110</v>
      </c>
      <c r="C98" s="14" t="s">
        <v>32</v>
      </c>
      <c r="D98" s="14">
        <v>47529</v>
      </c>
      <c r="E98" s="16">
        <v>0.77222222222222225</v>
      </c>
      <c r="F98" s="16">
        <v>0.82500000000000007</v>
      </c>
      <c r="G98" s="16">
        <f>MROUND(MasterTable[[#This Row],[Start Time]],"0:15")</f>
        <v>0.77083333333333326</v>
      </c>
      <c r="H98" s="16">
        <f>MROUND(MasterTable[[#This Row],[End Time]], "0:15")</f>
        <v>0.82291666666666663</v>
      </c>
      <c r="I98" s="16">
        <f>MasterTable[[#This Row],[Start Time]]-MasterTable[[#This Row],[Travel Time]]</f>
        <v>0.76111111111111118</v>
      </c>
      <c r="J98" s="16">
        <f>MROUND(MasterTable[[#This Row],[Travel ST]], "0:15")</f>
        <v>0.76041666666666663</v>
      </c>
      <c r="K98" s="13">
        <f>(MasterTable[[#This Row],[Start Time Adj]]-MasterTable[[#This Row],[Rd Travel ST]])*96</f>
        <v>0.99999999999999645</v>
      </c>
      <c r="L98" s="13">
        <f>(MasterTable[[#This Row],[End Time Adj]]-MasterTable[[#This Row],[Start Time Adj]])*96</f>
        <v>5.0000000000000036</v>
      </c>
      <c r="M98" s="13">
        <f>(MasterTable[[#This Row],[End Time Adj]]-MasterTable[[#This Row],[Rd Travel ST]])*96</f>
        <v>6</v>
      </c>
      <c r="N98" s="37">
        <v>1.1111111111111112E-2</v>
      </c>
      <c r="O98" s="13" t="s">
        <v>33</v>
      </c>
      <c r="P98" s="35">
        <f>MasterTable[[#This Row],[Daily E HL2]]/4</f>
        <v>1.2500000000000009</v>
      </c>
    </row>
    <row r="99" spans="1:16">
      <c r="A99" s="13" t="s">
        <v>198</v>
      </c>
      <c r="B99" t="s">
        <v>110</v>
      </c>
      <c r="C99" s="14" t="s">
        <v>32</v>
      </c>
      <c r="D99" s="14">
        <v>47559</v>
      </c>
      <c r="E99" s="16">
        <v>0.77222222222222225</v>
      </c>
      <c r="F99" s="16">
        <v>0.82500000000000007</v>
      </c>
      <c r="G99" s="16">
        <f>MROUND(MasterTable[[#This Row],[Start Time]],"0:15")</f>
        <v>0.77083333333333326</v>
      </c>
      <c r="H99" s="16">
        <f>MROUND(MasterTable[[#This Row],[End Time]], "0:15")</f>
        <v>0.82291666666666663</v>
      </c>
      <c r="I99" s="16">
        <f>MasterTable[[#This Row],[Start Time]]-MasterTable[[#This Row],[Travel Time]]</f>
        <v>0.76111111111111118</v>
      </c>
      <c r="J99" s="16">
        <f>MROUND(MasterTable[[#This Row],[Travel ST]], "0:15")</f>
        <v>0.76041666666666663</v>
      </c>
      <c r="K99" s="13">
        <f>(MasterTable[[#This Row],[Start Time Adj]]-MasterTable[[#This Row],[Rd Travel ST]])*96</f>
        <v>0.99999999999999645</v>
      </c>
      <c r="L99" s="13">
        <f>(MasterTable[[#This Row],[End Time Adj]]-MasterTable[[#This Row],[Start Time Adj]])*96</f>
        <v>5.0000000000000036</v>
      </c>
      <c r="M99" s="13">
        <f>(MasterTable[[#This Row],[End Time Adj]]-MasterTable[[#This Row],[Rd Travel ST]])*96</f>
        <v>6</v>
      </c>
      <c r="N99" s="37">
        <v>1.1111111111111112E-2</v>
      </c>
      <c r="O99" s="13" t="s">
        <v>33</v>
      </c>
      <c r="P99" s="35">
        <f>MasterTable[[#This Row],[Daily E HL2]]/4</f>
        <v>1.2500000000000009</v>
      </c>
    </row>
    <row r="100" spans="1:16">
      <c r="A100" s="13" t="s">
        <v>199</v>
      </c>
      <c r="B100" t="s">
        <v>110</v>
      </c>
      <c r="C100" s="14" t="s">
        <v>32</v>
      </c>
      <c r="D100" s="14">
        <v>47589</v>
      </c>
      <c r="E100" s="16">
        <v>0.77222222222222225</v>
      </c>
      <c r="F100" s="16">
        <v>0.82500000000000007</v>
      </c>
      <c r="G100" s="16">
        <f>MROUND(MasterTable[[#This Row],[Start Time]],"0:15")</f>
        <v>0.77083333333333326</v>
      </c>
      <c r="H100" s="16">
        <f>MROUND(MasterTable[[#This Row],[End Time]], "0:15")</f>
        <v>0.82291666666666663</v>
      </c>
      <c r="I100" s="16">
        <f>MasterTable[[#This Row],[Start Time]]-MasterTable[[#This Row],[Travel Time]]</f>
        <v>0.76111111111111118</v>
      </c>
      <c r="J100" s="16">
        <f>MROUND(MasterTable[[#This Row],[Travel ST]], "0:15")</f>
        <v>0.76041666666666663</v>
      </c>
      <c r="K100" s="13">
        <f>(MasterTable[[#This Row],[Start Time Adj]]-MasterTable[[#This Row],[Rd Travel ST]])*96</f>
        <v>0.99999999999999645</v>
      </c>
      <c r="L100" s="13">
        <f>(MasterTable[[#This Row],[End Time Adj]]-MasterTable[[#This Row],[Start Time Adj]])*96</f>
        <v>5.0000000000000036</v>
      </c>
      <c r="M100" s="13">
        <f>(MasterTable[[#This Row],[End Time Adj]]-MasterTable[[#This Row],[Rd Travel ST]])*96</f>
        <v>6</v>
      </c>
      <c r="N100" s="37">
        <v>1.1111111111111112E-2</v>
      </c>
      <c r="O100" s="13" t="s">
        <v>33</v>
      </c>
      <c r="P100" s="35">
        <f>MasterTable[[#This Row],[Daily E HL2]]/4</f>
        <v>1.2500000000000009</v>
      </c>
    </row>
    <row r="101" spans="1:16">
      <c r="A101" s="13" t="s">
        <v>200</v>
      </c>
      <c r="B101" t="s">
        <v>110</v>
      </c>
      <c r="C101" s="14" t="s">
        <v>32</v>
      </c>
      <c r="D101" s="14">
        <v>47619</v>
      </c>
      <c r="E101" s="16">
        <v>0.77222222222222225</v>
      </c>
      <c r="F101" s="16">
        <v>0.82500000000000007</v>
      </c>
      <c r="G101" s="16">
        <f>MROUND(MasterTable[[#This Row],[Start Time]],"0:15")</f>
        <v>0.77083333333333326</v>
      </c>
      <c r="H101" s="16">
        <f>MROUND(MasterTable[[#This Row],[End Time]], "0:15")</f>
        <v>0.82291666666666663</v>
      </c>
      <c r="I101" s="16">
        <f>MasterTable[[#This Row],[Start Time]]-MasterTable[[#This Row],[Travel Time]]</f>
        <v>0.76111111111111118</v>
      </c>
      <c r="J101" s="16">
        <f>MROUND(MasterTable[[#This Row],[Travel ST]], "0:15")</f>
        <v>0.76041666666666663</v>
      </c>
      <c r="K101" s="13">
        <f>(MasterTable[[#This Row],[Start Time Adj]]-MasterTable[[#This Row],[Rd Travel ST]])*96</f>
        <v>0.99999999999999645</v>
      </c>
      <c r="L101" s="13">
        <f>(MasterTable[[#This Row],[End Time Adj]]-MasterTable[[#This Row],[Start Time Adj]])*96</f>
        <v>5.0000000000000036</v>
      </c>
      <c r="M101" s="13">
        <f>(MasterTable[[#This Row],[End Time Adj]]-MasterTable[[#This Row],[Rd Travel ST]])*96</f>
        <v>6</v>
      </c>
      <c r="N101" s="37">
        <v>1.1111111111111112E-2</v>
      </c>
      <c r="O101" s="13" t="s">
        <v>33</v>
      </c>
      <c r="P101" s="35">
        <f>MasterTable[[#This Row],[Daily E HL2]]/4</f>
        <v>1.2500000000000009</v>
      </c>
    </row>
    <row r="102" spans="1:16">
      <c r="A102" s="13" t="s">
        <v>201</v>
      </c>
      <c r="B102" t="s">
        <v>110</v>
      </c>
      <c r="C102" s="14" t="s">
        <v>32</v>
      </c>
      <c r="D102" s="14">
        <v>47649</v>
      </c>
      <c r="E102" s="16">
        <v>0.77222222222222225</v>
      </c>
      <c r="F102" s="16">
        <v>0.82500000000000007</v>
      </c>
      <c r="G102" s="16">
        <f>MROUND(MasterTable[[#This Row],[Start Time]],"0:15")</f>
        <v>0.77083333333333326</v>
      </c>
      <c r="H102" s="16">
        <f>MROUND(MasterTable[[#This Row],[End Time]], "0:15")</f>
        <v>0.82291666666666663</v>
      </c>
      <c r="I102" s="16">
        <f>MasterTable[[#This Row],[Start Time]]-MasterTable[[#This Row],[Travel Time]]</f>
        <v>0.76111111111111118</v>
      </c>
      <c r="J102" s="16">
        <f>MROUND(MasterTable[[#This Row],[Travel ST]], "0:15")</f>
        <v>0.76041666666666663</v>
      </c>
      <c r="K102" s="13">
        <f>(MasterTable[[#This Row],[Start Time Adj]]-MasterTable[[#This Row],[Rd Travel ST]])*96</f>
        <v>0.99999999999999645</v>
      </c>
      <c r="L102" s="13">
        <f>(MasterTable[[#This Row],[End Time Adj]]-MasterTable[[#This Row],[Start Time Adj]])*96</f>
        <v>5.0000000000000036</v>
      </c>
      <c r="M102" s="13">
        <f>(MasterTable[[#This Row],[End Time Adj]]-MasterTable[[#This Row],[Rd Travel ST]])*96</f>
        <v>6</v>
      </c>
      <c r="N102" s="37">
        <v>1.1111111111111112E-2</v>
      </c>
      <c r="O102" s="13" t="s">
        <v>33</v>
      </c>
      <c r="P102" s="35">
        <f>MasterTable[[#This Row],[Daily E HL2]]/4</f>
        <v>1.2500000000000009</v>
      </c>
    </row>
    <row r="103" spans="1:16">
      <c r="A103" s="13" t="s">
        <v>202</v>
      </c>
      <c r="B103" t="s">
        <v>110</v>
      </c>
      <c r="C103" s="14" t="s">
        <v>32</v>
      </c>
      <c r="D103" s="14">
        <v>47679</v>
      </c>
      <c r="E103" s="16">
        <v>0.77222222222222225</v>
      </c>
      <c r="F103" s="16">
        <v>0.82500000000000007</v>
      </c>
      <c r="G103" s="16">
        <f>MROUND(MasterTable[[#This Row],[Start Time]],"0:15")</f>
        <v>0.77083333333333326</v>
      </c>
      <c r="H103" s="16">
        <f>MROUND(MasterTable[[#This Row],[End Time]], "0:15")</f>
        <v>0.82291666666666663</v>
      </c>
      <c r="I103" s="16">
        <f>MasterTable[[#This Row],[Start Time]]-MasterTable[[#This Row],[Travel Time]]</f>
        <v>0.76111111111111118</v>
      </c>
      <c r="J103" s="16">
        <f>MROUND(MasterTable[[#This Row],[Travel ST]], "0:15")</f>
        <v>0.76041666666666663</v>
      </c>
      <c r="K103" s="13">
        <f>(MasterTable[[#This Row],[Start Time Adj]]-MasterTable[[#This Row],[Rd Travel ST]])*96</f>
        <v>0.99999999999999645</v>
      </c>
      <c r="L103" s="13">
        <f>(MasterTable[[#This Row],[End Time Adj]]-MasterTable[[#This Row],[Start Time Adj]])*96</f>
        <v>5.0000000000000036</v>
      </c>
      <c r="M103" s="13">
        <f>(MasterTable[[#This Row],[End Time Adj]]-MasterTable[[#This Row],[Rd Travel ST]])*96</f>
        <v>6</v>
      </c>
      <c r="N103" s="37">
        <v>1.1111111111111112E-2</v>
      </c>
      <c r="O103" s="13" t="s">
        <v>33</v>
      </c>
      <c r="P103" s="35">
        <f>MasterTable[[#This Row],[Daily E HL2]]/4</f>
        <v>1.2500000000000009</v>
      </c>
    </row>
    <row r="104" spans="1:16">
      <c r="A104" s="13" t="s">
        <v>203</v>
      </c>
      <c r="B104" t="s">
        <v>110</v>
      </c>
      <c r="C104" s="14" t="s">
        <v>32</v>
      </c>
      <c r="D104" s="14">
        <v>47709</v>
      </c>
      <c r="E104" s="16">
        <v>0.77222222222222225</v>
      </c>
      <c r="F104" s="16">
        <v>0.82500000000000007</v>
      </c>
      <c r="G104" s="16">
        <f>MROUND(MasterTable[[#This Row],[Start Time]],"0:15")</f>
        <v>0.77083333333333326</v>
      </c>
      <c r="H104" s="16">
        <f>MROUND(MasterTable[[#This Row],[End Time]], "0:15")</f>
        <v>0.82291666666666663</v>
      </c>
      <c r="I104" s="16">
        <f>MasterTable[[#This Row],[Start Time]]-MasterTable[[#This Row],[Travel Time]]</f>
        <v>0.76111111111111118</v>
      </c>
      <c r="J104" s="16">
        <f>MROUND(MasterTable[[#This Row],[Travel ST]], "0:15")</f>
        <v>0.76041666666666663</v>
      </c>
      <c r="K104" s="13">
        <f>(MasterTable[[#This Row],[Start Time Adj]]-MasterTable[[#This Row],[Rd Travel ST]])*96</f>
        <v>0.99999999999999645</v>
      </c>
      <c r="L104" s="13">
        <f>(MasterTable[[#This Row],[End Time Adj]]-MasterTable[[#This Row],[Start Time Adj]])*96</f>
        <v>5.0000000000000036</v>
      </c>
      <c r="M104" s="13">
        <f>(MasterTable[[#This Row],[End Time Adj]]-MasterTable[[#This Row],[Rd Travel ST]])*96</f>
        <v>6</v>
      </c>
      <c r="N104" s="37">
        <v>1.1111111111111112E-2</v>
      </c>
      <c r="O104" s="13" t="s">
        <v>33</v>
      </c>
      <c r="P104" s="35">
        <f>MasterTable[[#This Row],[Daily E HL2]]/4</f>
        <v>1.2500000000000009</v>
      </c>
    </row>
    <row r="105" spans="1:16">
      <c r="A105" s="13" t="s">
        <v>204</v>
      </c>
      <c r="B105" t="s">
        <v>110</v>
      </c>
      <c r="C105" s="14" t="s">
        <v>32</v>
      </c>
      <c r="D105" s="14">
        <v>47739</v>
      </c>
      <c r="E105" s="16">
        <v>0.77222222222222225</v>
      </c>
      <c r="F105" s="16">
        <v>0.82500000000000007</v>
      </c>
      <c r="G105" s="16">
        <f>MROUND(MasterTable[[#This Row],[Start Time]],"0:15")</f>
        <v>0.77083333333333326</v>
      </c>
      <c r="H105" s="16">
        <f>MROUND(MasterTable[[#This Row],[End Time]], "0:15")</f>
        <v>0.82291666666666663</v>
      </c>
      <c r="I105" s="16">
        <f>MasterTable[[#This Row],[Start Time]]-MasterTable[[#This Row],[Travel Time]]</f>
        <v>0.76111111111111118</v>
      </c>
      <c r="J105" s="16">
        <f>MROUND(MasterTable[[#This Row],[Travel ST]], "0:15")</f>
        <v>0.76041666666666663</v>
      </c>
      <c r="K105" s="13">
        <f>(MasterTable[[#This Row],[Start Time Adj]]-MasterTable[[#This Row],[Rd Travel ST]])*96</f>
        <v>0.99999999999999645</v>
      </c>
      <c r="L105" s="13">
        <f>(MasterTable[[#This Row],[End Time Adj]]-MasterTable[[#This Row],[Start Time Adj]])*96</f>
        <v>5.0000000000000036</v>
      </c>
      <c r="M105" s="13">
        <f>(MasterTable[[#This Row],[End Time Adj]]-MasterTable[[#This Row],[Rd Travel ST]])*96</f>
        <v>6</v>
      </c>
      <c r="N105" s="37">
        <v>1.1111111111111112E-2</v>
      </c>
      <c r="O105" s="13" t="s">
        <v>33</v>
      </c>
      <c r="P105" s="35">
        <f>MasterTable[[#This Row],[Daily E HL2]]/4</f>
        <v>1.2500000000000009</v>
      </c>
    </row>
    <row r="106" spans="1:16">
      <c r="A106" s="13"/>
      <c r="F106" s="16"/>
      <c r="G106" s="16"/>
      <c r="H106" s="16"/>
      <c r="I106" s="16"/>
      <c r="J106" s="16"/>
      <c r="L106" s="13"/>
      <c r="M106" s="13"/>
      <c r="O106" s="13"/>
    </row>
    <row r="107" spans="1:16">
      <c r="A107" s="13"/>
      <c r="F107" s="16"/>
      <c r="G107" s="16"/>
      <c r="H107" s="16"/>
      <c r="I107" s="16"/>
      <c r="J107" s="16"/>
      <c r="L107" s="13"/>
      <c r="M107" s="13"/>
      <c r="O107" s="13"/>
    </row>
    <row r="108" spans="1:16">
      <c r="A108" s="13"/>
      <c r="F108" s="16"/>
      <c r="G108" s="16"/>
      <c r="H108" s="16"/>
      <c r="I108" s="16"/>
      <c r="J108" s="16"/>
      <c r="L108" s="13"/>
      <c r="M108" s="13"/>
      <c r="O108" s="13"/>
    </row>
    <row r="109" spans="1:16">
      <c r="A109" s="13"/>
      <c r="F109" s="16"/>
      <c r="G109" s="16"/>
      <c r="H109" s="16"/>
      <c r="I109" s="16"/>
      <c r="J109" s="16"/>
      <c r="L109" s="13"/>
      <c r="M109" s="13"/>
      <c r="O109" s="13"/>
    </row>
    <row r="112" spans="1:16">
      <c r="H112" s="14"/>
    </row>
    <row r="117" spans="15:15">
      <c r="O117" s="37"/>
    </row>
    <row r="133" spans="3:11">
      <c r="C133"/>
      <c r="E133"/>
      <c r="K13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andomSingleEventGenerator">
                <anchor moveWithCells="1" sizeWithCells="1">
                  <from>
                    <xdr:col>0</xdr:col>
                    <xdr:colOff>709613</xdr:colOff>
                    <xdr:row>113</xdr:row>
                    <xdr:rowOff>23813</xdr:rowOff>
                  </from>
                  <to>
                    <xdr:col>1</xdr:col>
                    <xdr:colOff>900113</xdr:colOff>
                    <xdr:row>115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andomRecurringEventGenerator">
                <anchor moveWithCells="1" sizeWithCells="1">
                  <from>
                    <xdr:col>2</xdr:col>
                    <xdr:colOff>442913</xdr:colOff>
                    <xdr:row>113</xdr:row>
                    <xdr:rowOff>14288</xdr:rowOff>
                  </from>
                  <to>
                    <xdr:col>4</xdr:col>
                    <xdr:colOff>342900</xdr:colOff>
                    <xdr:row>115</xdr:row>
                    <xdr:rowOff>61913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F510-D56E-4E34-97EC-0FD739A2CADA}">
  <sheetPr codeName="Sheet3"/>
  <dimension ref="A1:M111"/>
  <sheetViews>
    <sheetView zoomScale="86" workbookViewId="0">
      <selection activeCell="J24" sqref="J24"/>
    </sheetView>
  </sheetViews>
  <sheetFormatPr defaultColWidth="8.796875" defaultRowHeight="14.25"/>
  <cols>
    <col min="1" max="1" width="10.46484375" customWidth="1"/>
    <col min="2" max="2" width="10.33203125" customWidth="1"/>
    <col min="3" max="3" width="12.6640625" customWidth="1"/>
    <col min="5" max="5" width="14" customWidth="1"/>
    <col min="6" max="6" width="15" customWidth="1"/>
    <col min="7" max="7" width="10.796875" customWidth="1"/>
    <col min="8" max="8" width="51.1328125" customWidth="1"/>
    <col min="10" max="10" width="10.46484375" customWidth="1"/>
    <col min="12" max="12" width="14.6640625" bestFit="1" customWidth="1"/>
  </cols>
  <sheetData>
    <row r="1" spans="1:13" ht="14.65" thickBot="1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H1" t="s">
        <v>72</v>
      </c>
      <c r="J1" t="s">
        <v>105</v>
      </c>
    </row>
    <row r="2" spans="1:13" ht="14.65" thickBot="1">
      <c r="A2" s="17" t="s">
        <v>73</v>
      </c>
      <c r="B2" s="7" t="s">
        <v>1</v>
      </c>
      <c r="C2" s="19">
        <v>0.29166666666666702</v>
      </c>
      <c r="D2" s="7">
        <v>2023</v>
      </c>
      <c r="E2" s="7" t="s">
        <v>117</v>
      </c>
      <c r="F2" s="7" t="s">
        <v>50</v>
      </c>
      <c r="H2" t="s">
        <v>74</v>
      </c>
      <c r="J2" s="7">
        <v>1</v>
      </c>
      <c r="L2" s="1"/>
    </row>
    <row r="3" spans="1:13" ht="14.65" thickBot="1">
      <c r="A3" s="18" t="s">
        <v>75</v>
      </c>
      <c r="B3" s="8" t="s">
        <v>2</v>
      </c>
      <c r="C3" s="20">
        <v>0.25</v>
      </c>
      <c r="D3" s="7">
        <v>2024</v>
      </c>
      <c r="E3" s="8" t="s">
        <v>76</v>
      </c>
      <c r="F3" s="8" t="s">
        <v>32</v>
      </c>
      <c r="H3" t="s">
        <v>36</v>
      </c>
      <c r="J3" s="8">
        <v>2</v>
      </c>
      <c r="L3" s="1"/>
      <c r="M3" s="35"/>
    </row>
    <row r="4" spans="1:13" ht="14.65" thickBot="1">
      <c r="A4" s="18" t="s">
        <v>77</v>
      </c>
      <c r="B4" s="8" t="s">
        <v>3</v>
      </c>
      <c r="C4" s="20">
        <v>0.27083333333333298</v>
      </c>
      <c r="D4" s="7">
        <v>2025</v>
      </c>
      <c r="E4" s="8" t="s">
        <v>78</v>
      </c>
      <c r="F4" s="8" t="s">
        <v>44</v>
      </c>
      <c r="H4" t="s">
        <v>34</v>
      </c>
      <c r="J4" s="8">
        <v>3</v>
      </c>
      <c r="L4" s="1"/>
      <c r="M4" s="35"/>
    </row>
    <row r="5" spans="1:13" ht="14.65" thickBot="1">
      <c r="A5" s="18" t="s">
        <v>79</v>
      </c>
      <c r="B5" s="8" t="s">
        <v>4</v>
      </c>
      <c r="C5" s="20">
        <v>0.3125</v>
      </c>
      <c r="D5" s="7">
        <v>2026</v>
      </c>
      <c r="E5" s="8" t="s">
        <v>80</v>
      </c>
      <c r="F5" s="8" t="s">
        <v>47</v>
      </c>
      <c r="H5" t="s">
        <v>81</v>
      </c>
      <c r="J5" s="8">
        <v>4</v>
      </c>
      <c r="L5" s="1"/>
      <c r="M5" s="35"/>
    </row>
    <row r="6" spans="1:13" ht="14.65" thickBot="1">
      <c r="A6" s="18" t="s">
        <v>82</v>
      </c>
      <c r="B6" s="8" t="s">
        <v>5</v>
      </c>
      <c r="C6" s="20">
        <v>0.30208333333333298</v>
      </c>
      <c r="D6" s="7">
        <v>2027</v>
      </c>
      <c r="E6" s="8" t="s">
        <v>83</v>
      </c>
      <c r="F6" s="8" t="s">
        <v>54</v>
      </c>
      <c r="H6" t="s">
        <v>53</v>
      </c>
      <c r="J6" s="9">
        <v>5</v>
      </c>
      <c r="L6" s="1"/>
      <c r="M6" s="35"/>
    </row>
    <row r="7" spans="1:13" ht="14.65" thickBot="1">
      <c r="A7" s="18" t="s">
        <v>84</v>
      </c>
      <c r="B7" s="8" t="s">
        <v>6</v>
      </c>
      <c r="C7" s="20">
        <v>0.28125</v>
      </c>
      <c r="D7" s="7">
        <v>2028</v>
      </c>
      <c r="E7" s="9" t="s">
        <v>85</v>
      </c>
      <c r="F7" s="9" t="s">
        <v>52</v>
      </c>
      <c r="H7" t="s">
        <v>57</v>
      </c>
      <c r="L7" s="1"/>
      <c r="M7" s="35"/>
    </row>
    <row r="8" spans="1:13" ht="14.65" thickBot="1">
      <c r="A8" s="18" t="s">
        <v>86</v>
      </c>
      <c r="B8" s="9" t="s">
        <v>7</v>
      </c>
      <c r="C8" s="20">
        <v>0.26041666666666669</v>
      </c>
      <c r="D8" s="7">
        <v>2029</v>
      </c>
      <c r="H8" t="s">
        <v>42</v>
      </c>
      <c r="L8" s="1"/>
      <c r="M8" s="35"/>
    </row>
    <row r="9" spans="1:13" ht="14.65" thickBot="1">
      <c r="A9" s="8" t="s">
        <v>87</v>
      </c>
      <c r="C9" s="11">
        <v>0.32291666666666702</v>
      </c>
      <c r="D9" s="7">
        <v>2030</v>
      </c>
      <c r="H9" t="s">
        <v>55</v>
      </c>
      <c r="L9" s="1"/>
      <c r="M9" s="35"/>
    </row>
    <row r="10" spans="1:13" ht="14.65" thickBot="1">
      <c r="A10" s="8" t="s">
        <v>88</v>
      </c>
      <c r="C10" s="11">
        <v>0.33333333333333298</v>
      </c>
      <c r="D10" s="7">
        <v>2031</v>
      </c>
      <c r="H10" t="s">
        <v>46</v>
      </c>
      <c r="L10" s="1"/>
      <c r="M10" s="35"/>
    </row>
    <row r="11" spans="1:13" ht="14.65" thickBot="1">
      <c r="A11" s="8" t="s">
        <v>89</v>
      </c>
      <c r="C11" s="11">
        <v>0.34375</v>
      </c>
      <c r="D11" s="7">
        <v>2032</v>
      </c>
      <c r="H11" t="s">
        <v>91</v>
      </c>
      <c r="L11" s="1"/>
      <c r="M11" s="35"/>
    </row>
    <row r="12" spans="1:13" ht="14.65" thickBot="1">
      <c r="A12" s="8" t="s">
        <v>90</v>
      </c>
      <c r="C12" s="11">
        <v>0.35416666666666702</v>
      </c>
      <c r="D12" s="7">
        <v>2033</v>
      </c>
      <c r="H12" t="s">
        <v>58</v>
      </c>
      <c r="L12" s="1"/>
      <c r="M12" s="35"/>
    </row>
    <row r="13" spans="1:13" ht="14.65" thickBot="1">
      <c r="A13" s="9" t="s">
        <v>92</v>
      </c>
      <c r="C13" s="11">
        <v>0.36458333333333398</v>
      </c>
      <c r="D13" s="7">
        <v>2034</v>
      </c>
      <c r="H13" t="s">
        <v>51</v>
      </c>
      <c r="L13" s="1"/>
      <c r="M13" s="35"/>
    </row>
    <row r="14" spans="1:13" ht="14.65" thickBot="1">
      <c r="C14" s="11">
        <v>0.375</v>
      </c>
      <c r="D14" s="7">
        <v>2035</v>
      </c>
      <c r="H14" t="s">
        <v>45</v>
      </c>
      <c r="L14" s="1"/>
      <c r="M14" s="35"/>
    </row>
    <row r="15" spans="1:13" ht="14.65" thickBot="1">
      <c r="C15" s="11">
        <v>0.38541666666666702</v>
      </c>
      <c r="D15" s="7">
        <v>2036</v>
      </c>
      <c r="H15" t="s">
        <v>38</v>
      </c>
      <c r="L15" s="1"/>
      <c r="M15" s="35"/>
    </row>
    <row r="16" spans="1:13" ht="14.65" thickBot="1">
      <c r="C16" s="11">
        <v>0.39583333333333398</v>
      </c>
      <c r="D16" s="7">
        <v>2037</v>
      </c>
      <c r="H16" t="s">
        <v>48</v>
      </c>
      <c r="L16" s="1"/>
      <c r="M16" s="35"/>
    </row>
    <row r="17" spans="3:13" ht="14.65" thickBot="1">
      <c r="C17" s="11">
        <v>0.40625</v>
      </c>
      <c r="D17" s="7">
        <v>2038</v>
      </c>
      <c r="H17" t="s">
        <v>41</v>
      </c>
      <c r="L17" s="1"/>
      <c r="M17" s="35"/>
    </row>
    <row r="18" spans="3:13" ht="14.65" thickBot="1">
      <c r="C18" s="11">
        <v>0.41666666666666702</v>
      </c>
      <c r="D18" s="7">
        <v>2039</v>
      </c>
      <c r="H18" t="s">
        <v>59</v>
      </c>
      <c r="L18" s="1"/>
      <c r="M18" s="35"/>
    </row>
    <row r="19" spans="3:13" ht="14.65" thickBot="1">
      <c r="C19" s="11">
        <v>0.42708333333333398</v>
      </c>
      <c r="D19" s="7">
        <v>2040</v>
      </c>
      <c r="H19" t="s">
        <v>93</v>
      </c>
      <c r="L19" s="1"/>
      <c r="M19" s="35"/>
    </row>
    <row r="20" spans="3:13" ht="14.65" thickBot="1">
      <c r="C20" s="11">
        <v>0.4375</v>
      </c>
      <c r="D20" s="7">
        <v>2041</v>
      </c>
      <c r="H20" t="s">
        <v>119</v>
      </c>
      <c r="L20" s="1"/>
      <c r="M20" s="35"/>
    </row>
    <row r="21" spans="3:13" ht="14.65" thickBot="1">
      <c r="C21" s="11">
        <v>0.44791666666666702</v>
      </c>
      <c r="D21" s="7">
        <v>2042</v>
      </c>
      <c r="H21" t="s">
        <v>109</v>
      </c>
      <c r="L21" s="1"/>
    </row>
    <row r="22" spans="3:13" ht="14.65" thickBot="1">
      <c r="C22" s="11">
        <v>0.45833333333333398</v>
      </c>
      <c r="D22" s="7">
        <v>2043</v>
      </c>
      <c r="H22" t="s">
        <v>112</v>
      </c>
      <c r="L22" s="1"/>
    </row>
    <row r="23" spans="3:13" ht="14.65" thickBot="1">
      <c r="C23" s="11">
        <v>0.46875</v>
      </c>
      <c r="D23" s="7">
        <v>2044</v>
      </c>
      <c r="H23" t="s">
        <v>111</v>
      </c>
      <c r="L23" s="1"/>
    </row>
    <row r="24" spans="3:13" ht="14.65" thickBot="1">
      <c r="C24" s="11">
        <v>0.47916666666666702</v>
      </c>
      <c r="D24" s="7">
        <v>2045</v>
      </c>
      <c r="H24" t="s">
        <v>113</v>
      </c>
      <c r="L24" s="1"/>
    </row>
    <row r="25" spans="3:13" ht="14.65" thickBot="1">
      <c r="C25" s="11">
        <v>0.48958333333333398</v>
      </c>
      <c r="D25" s="7">
        <v>2046</v>
      </c>
      <c r="H25" t="s">
        <v>118</v>
      </c>
      <c r="L25" s="1"/>
    </row>
    <row r="26" spans="3:13" ht="14.65" thickBot="1">
      <c r="C26" s="11">
        <v>0.5</v>
      </c>
      <c r="D26" s="7">
        <v>2047</v>
      </c>
      <c r="H26" t="s">
        <v>114</v>
      </c>
      <c r="L26" s="1"/>
    </row>
    <row r="27" spans="3:13" ht="14.65" thickBot="1">
      <c r="C27" s="11">
        <v>0.51041666666666696</v>
      </c>
      <c r="D27" s="7">
        <v>2048</v>
      </c>
      <c r="H27" t="s">
        <v>115</v>
      </c>
      <c r="L27" s="1"/>
    </row>
    <row r="28" spans="3:13" ht="14.65" thickBot="1">
      <c r="C28" s="11">
        <v>0.52083333333333404</v>
      </c>
      <c r="D28" s="7">
        <v>2049</v>
      </c>
      <c r="H28" t="s">
        <v>116</v>
      </c>
      <c r="L28" s="1"/>
    </row>
    <row r="29" spans="3:13" ht="14.65" thickBot="1">
      <c r="C29" s="11">
        <v>0.53125</v>
      </c>
      <c r="D29" s="7">
        <v>2050</v>
      </c>
      <c r="H29" t="s">
        <v>123</v>
      </c>
      <c r="L29" s="1"/>
    </row>
    <row r="30" spans="3:13" ht="14.65" thickBot="1">
      <c r="C30" s="11">
        <v>0.54166666666666696</v>
      </c>
      <c r="D30" s="7">
        <v>2051</v>
      </c>
      <c r="H30" t="s">
        <v>124</v>
      </c>
      <c r="L30" s="1"/>
    </row>
    <row r="31" spans="3:13" ht="14.65" thickBot="1">
      <c r="C31" s="11">
        <v>0.55208333333333404</v>
      </c>
      <c r="D31" s="7">
        <v>2052</v>
      </c>
      <c r="H31" t="s">
        <v>125</v>
      </c>
      <c r="L31" s="1"/>
    </row>
    <row r="32" spans="3:13" ht="14.65" thickBot="1">
      <c r="C32" s="11">
        <v>0.562500000000001</v>
      </c>
      <c r="D32" s="7">
        <v>2053</v>
      </c>
      <c r="H32" t="s">
        <v>126</v>
      </c>
      <c r="L32" s="1"/>
    </row>
    <row r="33" spans="3:12" ht="14.65" thickBot="1">
      <c r="C33" s="11">
        <v>0.57291666666666696</v>
      </c>
      <c r="D33" s="7">
        <v>2054</v>
      </c>
      <c r="H33" t="s">
        <v>127</v>
      </c>
      <c r="L33" s="1"/>
    </row>
    <row r="34" spans="3:12" ht="14.65" thickBot="1">
      <c r="C34" s="11">
        <v>0.58333333333333404</v>
      </c>
      <c r="D34" s="7">
        <v>2055</v>
      </c>
      <c r="H34" t="s">
        <v>128</v>
      </c>
      <c r="L34" s="1"/>
    </row>
    <row r="35" spans="3:12" ht="14.65" thickBot="1">
      <c r="C35" s="11">
        <v>0.593750000000001</v>
      </c>
      <c r="D35" s="7">
        <v>2056</v>
      </c>
      <c r="E35" s="10"/>
      <c r="H35" t="s">
        <v>129</v>
      </c>
      <c r="L35" s="1"/>
    </row>
    <row r="36" spans="3:12" ht="14.65" thickBot="1">
      <c r="C36" s="11">
        <v>0.60416666666666696</v>
      </c>
      <c r="D36" s="7">
        <v>2057</v>
      </c>
      <c r="H36" t="s">
        <v>130</v>
      </c>
      <c r="L36" s="1"/>
    </row>
    <row r="37" spans="3:12" ht="14.65" thickBot="1">
      <c r="C37" s="11">
        <v>0.61458333333333404</v>
      </c>
      <c r="D37" s="7">
        <v>2058</v>
      </c>
      <c r="H37" t="s">
        <v>131</v>
      </c>
      <c r="L37" s="1"/>
    </row>
    <row r="38" spans="3:12" ht="14.65" thickBot="1">
      <c r="C38" s="11">
        <v>0.625000000000001</v>
      </c>
      <c r="D38" s="7">
        <v>2059</v>
      </c>
      <c r="H38" t="s">
        <v>132</v>
      </c>
      <c r="L38" s="1"/>
    </row>
    <row r="39" spans="3:12" ht="14.65" thickBot="1">
      <c r="C39" s="11">
        <v>0.63541666666666696</v>
      </c>
      <c r="D39" s="7">
        <v>2060</v>
      </c>
      <c r="H39" t="s">
        <v>133</v>
      </c>
      <c r="L39" s="1"/>
    </row>
    <row r="40" spans="3:12" ht="14.65" thickBot="1">
      <c r="C40" s="11">
        <v>0.64583333333333404</v>
      </c>
      <c r="D40" s="7">
        <v>2061</v>
      </c>
      <c r="H40" t="s">
        <v>134</v>
      </c>
    </row>
    <row r="41" spans="3:12" ht="14.65" thickBot="1">
      <c r="C41" s="11">
        <v>0.656250000000001</v>
      </c>
      <c r="D41" s="7">
        <v>2062</v>
      </c>
      <c r="H41" t="s">
        <v>135</v>
      </c>
    </row>
    <row r="42" spans="3:12" ht="14.65" thickBot="1">
      <c r="C42" s="11">
        <v>0.66666666666666696</v>
      </c>
      <c r="D42" s="7">
        <v>2063</v>
      </c>
      <c r="H42" t="s">
        <v>136</v>
      </c>
    </row>
    <row r="43" spans="3:12" ht="14.65" thickBot="1">
      <c r="C43" s="11">
        <v>0.67708333333333404</v>
      </c>
      <c r="D43" s="7">
        <v>2064</v>
      </c>
      <c r="H43" t="s">
        <v>137</v>
      </c>
    </row>
    <row r="44" spans="3:12" ht="14.65" thickBot="1">
      <c r="C44" s="11">
        <v>0.687500000000001</v>
      </c>
      <c r="D44" s="7">
        <v>2065</v>
      </c>
      <c r="H44" t="s">
        <v>138</v>
      </c>
    </row>
    <row r="45" spans="3:12" ht="14.65" thickBot="1">
      <c r="C45" s="11">
        <v>0.69791666666666696</v>
      </c>
      <c r="D45" s="7">
        <v>2066</v>
      </c>
      <c r="H45" t="s">
        <v>139</v>
      </c>
    </row>
    <row r="46" spans="3:12" ht="14.65" thickBot="1">
      <c r="C46" s="11">
        <v>0.70833333333333404</v>
      </c>
      <c r="D46" s="7">
        <v>2067</v>
      </c>
      <c r="H46" t="s">
        <v>140</v>
      </c>
    </row>
    <row r="47" spans="3:12" ht="14.65" thickBot="1">
      <c r="C47" s="11">
        <v>0.718750000000001</v>
      </c>
      <c r="D47" s="7">
        <v>2068</v>
      </c>
      <c r="H47" t="s">
        <v>141</v>
      </c>
    </row>
    <row r="48" spans="3:12" ht="14.65" thickBot="1">
      <c r="C48" s="11">
        <v>0.72916666666666796</v>
      </c>
      <c r="D48" s="7">
        <v>2069</v>
      </c>
      <c r="H48" t="s">
        <v>142</v>
      </c>
    </row>
    <row r="49" spans="3:8" ht="14.65" thickBot="1">
      <c r="C49" s="11">
        <v>0.73958333333333404</v>
      </c>
      <c r="D49" s="7">
        <v>2070</v>
      </c>
      <c r="H49" t="s">
        <v>143</v>
      </c>
    </row>
    <row r="50" spans="3:8" ht="14.65" thickBot="1">
      <c r="C50" s="11">
        <v>0.750000000000001</v>
      </c>
      <c r="D50" s="7">
        <v>2071</v>
      </c>
      <c r="H50" t="s">
        <v>144</v>
      </c>
    </row>
    <row r="51" spans="3:8" ht="14.65" thickBot="1">
      <c r="C51" s="11">
        <v>0.76041666666666796</v>
      </c>
      <c r="D51" s="7">
        <v>2072</v>
      </c>
      <c r="H51" t="s">
        <v>145</v>
      </c>
    </row>
    <row r="52" spans="3:8" ht="14.65" thickBot="1">
      <c r="C52" s="11">
        <v>0.77083333333333404</v>
      </c>
      <c r="D52" s="7">
        <v>2073</v>
      </c>
      <c r="H52" t="s">
        <v>146</v>
      </c>
    </row>
    <row r="53" spans="3:8" ht="14.65" thickBot="1">
      <c r="C53" s="11">
        <v>0.781250000000001</v>
      </c>
      <c r="D53" s="7">
        <v>2074</v>
      </c>
      <c r="H53" t="s">
        <v>147</v>
      </c>
    </row>
    <row r="54" spans="3:8" ht="14.65" thickBot="1">
      <c r="C54" s="11">
        <v>0.79166666666666796</v>
      </c>
      <c r="D54" s="7">
        <v>2075</v>
      </c>
      <c r="H54" t="s">
        <v>148</v>
      </c>
    </row>
    <row r="55" spans="3:8" ht="14.65" thickBot="1">
      <c r="C55" s="11">
        <v>0.80208333333333404</v>
      </c>
      <c r="D55" s="7">
        <v>2076</v>
      </c>
      <c r="H55" t="s">
        <v>149</v>
      </c>
    </row>
    <row r="56" spans="3:8" ht="14.65" thickBot="1">
      <c r="C56" s="11">
        <v>0.812500000000001</v>
      </c>
      <c r="D56" s="7">
        <v>2077</v>
      </c>
      <c r="H56" t="s">
        <v>150</v>
      </c>
    </row>
    <row r="57" spans="3:8" ht="14.65" thickBot="1">
      <c r="C57" s="11">
        <v>0.82291666666666796</v>
      </c>
      <c r="D57" s="7">
        <v>2078</v>
      </c>
      <c r="H57" t="s">
        <v>151</v>
      </c>
    </row>
    <row r="58" spans="3:8" ht="14.65" thickBot="1">
      <c r="C58" s="11">
        <v>0.83333333333333404</v>
      </c>
      <c r="D58" s="7">
        <v>2079</v>
      </c>
      <c r="H58" t="s">
        <v>152</v>
      </c>
    </row>
    <row r="59" spans="3:8" ht="14.65" thickBot="1">
      <c r="C59" s="11">
        <v>0.843750000000001</v>
      </c>
      <c r="D59" s="7">
        <v>2080</v>
      </c>
      <c r="H59" t="s">
        <v>153</v>
      </c>
    </row>
    <row r="60" spans="3:8" ht="14.65" thickBot="1">
      <c r="C60" s="11">
        <v>0.85416666666666796</v>
      </c>
      <c r="D60" s="7">
        <v>2081</v>
      </c>
      <c r="H60" t="s">
        <v>154</v>
      </c>
    </row>
    <row r="61" spans="3:8" ht="14.65" thickBot="1">
      <c r="C61" s="11">
        <v>0.86458333333333404</v>
      </c>
      <c r="D61" s="7">
        <v>2082</v>
      </c>
      <c r="H61" t="s">
        <v>155</v>
      </c>
    </row>
    <row r="62" spans="3:8" ht="14.65" thickBot="1">
      <c r="C62" s="11">
        <v>0.875000000000001</v>
      </c>
      <c r="D62" s="7">
        <v>2083</v>
      </c>
      <c r="H62" t="s">
        <v>156</v>
      </c>
    </row>
    <row r="63" spans="3:8" ht="14.65" thickBot="1">
      <c r="C63" s="11">
        <v>0.88541666666666796</v>
      </c>
      <c r="D63" s="7">
        <v>2084</v>
      </c>
      <c r="H63" t="s">
        <v>157</v>
      </c>
    </row>
    <row r="64" spans="3:8" ht="14.65" thickBot="1">
      <c r="C64" s="11">
        <v>0.89583333333333404</v>
      </c>
      <c r="D64" s="7">
        <v>2085</v>
      </c>
      <c r="H64" t="s">
        <v>158</v>
      </c>
    </row>
    <row r="65" spans="3:8" ht="14.65" thickBot="1">
      <c r="C65" s="11">
        <v>0.906250000000001</v>
      </c>
      <c r="D65" s="7">
        <v>2086</v>
      </c>
      <c r="H65" t="s">
        <v>159</v>
      </c>
    </row>
    <row r="66" spans="3:8" ht="14.65" thickBot="1">
      <c r="C66" s="11">
        <v>0.91666666666666796</v>
      </c>
      <c r="D66" s="7">
        <v>2087</v>
      </c>
      <c r="H66" t="s">
        <v>160</v>
      </c>
    </row>
    <row r="67" spans="3:8" ht="14.65" thickBot="1">
      <c r="C67" s="11">
        <v>0.92708333333333504</v>
      </c>
      <c r="D67" s="7">
        <v>2088</v>
      </c>
      <c r="H67" t="s">
        <v>161</v>
      </c>
    </row>
    <row r="68" spans="3:8" ht="14.65" thickBot="1">
      <c r="C68" s="11">
        <v>0.937500000000001</v>
      </c>
      <c r="D68" s="7">
        <v>2089</v>
      </c>
      <c r="H68" t="s">
        <v>162</v>
      </c>
    </row>
    <row r="69" spans="3:8" ht="14.65" thickBot="1">
      <c r="C69" s="11">
        <v>0.94791666666666796</v>
      </c>
      <c r="D69" s="7">
        <v>2090</v>
      </c>
      <c r="H69" t="s">
        <v>163</v>
      </c>
    </row>
    <row r="70" spans="3:8" ht="14.65" thickBot="1">
      <c r="C70" s="11">
        <v>0.95833333333333504</v>
      </c>
      <c r="D70" s="7">
        <v>2091</v>
      </c>
      <c r="H70" t="s">
        <v>164</v>
      </c>
    </row>
    <row r="71" spans="3:8" ht="14.65" thickBot="1">
      <c r="C71" s="11">
        <v>0.968750000000001</v>
      </c>
      <c r="D71" s="7">
        <v>2092</v>
      </c>
      <c r="H71" t="s">
        <v>165</v>
      </c>
    </row>
    <row r="72" spans="3:8" ht="14.65" thickBot="1">
      <c r="C72" s="11">
        <v>0.97916666666666796</v>
      </c>
      <c r="D72" s="7">
        <v>2093</v>
      </c>
      <c r="H72" t="s">
        <v>166</v>
      </c>
    </row>
    <row r="73" spans="3:8" ht="14.65" thickBot="1">
      <c r="C73" s="11">
        <v>0.98958333333333504</v>
      </c>
      <c r="D73" s="7">
        <v>2094</v>
      </c>
      <c r="H73" t="s">
        <v>167</v>
      </c>
    </row>
    <row r="74" spans="3:8" ht="14.65" thickBot="1">
      <c r="C74" s="12">
        <v>1</v>
      </c>
      <c r="D74" s="7">
        <v>2095</v>
      </c>
      <c r="H74" t="s">
        <v>168</v>
      </c>
    </row>
    <row r="75" spans="3:8" ht="14.65" thickBot="1">
      <c r="C75" s="1"/>
      <c r="D75" s="7">
        <v>2096</v>
      </c>
      <c r="H75" t="s">
        <v>169</v>
      </c>
    </row>
    <row r="76" spans="3:8" ht="14.65" thickBot="1">
      <c r="C76" s="1"/>
      <c r="D76" s="7">
        <v>2097</v>
      </c>
      <c r="H76" t="s">
        <v>170</v>
      </c>
    </row>
    <row r="77" spans="3:8" ht="14.65" thickBot="1">
      <c r="C77" s="1"/>
      <c r="D77" s="7">
        <v>2098</v>
      </c>
      <c r="H77" t="s">
        <v>171</v>
      </c>
    </row>
    <row r="78" spans="3:8" ht="14.65" thickBot="1">
      <c r="C78" s="1"/>
      <c r="D78" s="7">
        <v>2099</v>
      </c>
      <c r="H78" t="s">
        <v>172</v>
      </c>
    </row>
    <row r="79" spans="3:8">
      <c r="C79" s="1"/>
      <c r="D79" s="7">
        <v>2100</v>
      </c>
      <c r="H79" t="s">
        <v>173</v>
      </c>
    </row>
    <row r="80" spans="3:8">
      <c r="C80" s="1"/>
      <c r="H80" t="s">
        <v>174</v>
      </c>
    </row>
    <row r="81" spans="3:8">
      <c r="C81" s="1"/>
      <c r="H81" t="s">
        <v>175</v>
      </c>
    </row>
    <row r="82" spans="3:8">
      <c r="C82" s="1"/>
      <c r="H82" t="s">
        <v>176</v>
      </c>
    </row>
    <row r="83" spans="3:8">
      <c r="C83" s="1"/>
      <c r="H83" t="s">
        <v>177</v>
      </c>
    </row>
    <row r="84" spans="3:8">
      <c r="C84" s="1"/>
      <c r="H84" t="s">
        <v>178</v>
      </c>
    </row>
    <row r="85" spans="3:8">
      <c r="C85" s="1"/>
      <c r="H85" t="s">
        <v>179</v>
      </c>
    </row>
    <row r="86" spans="3:8">
      <c r="C86" s="1"/>
      <c r="H86" t="s">
        <v>180</v>
      </c>
    </row>
    <row r="87" spans="3:8">
      <c r="C87" s="1"/>
      <c r="H87" t="s">
        <v>181</v>
      </c>
    </row>
    <row r="88" spans="3:8">
      <c r="C88" s="1"/>
      <c r="H88" t="s">
        <v>182</v>
      </c>
    </row>
    <row r="89" spans="3:8">
      <c r="C89" s="1"/>
      <c r="H89" t="s">
        <v>183</v>
      </c>
    </row>
    <row r="90" spans="3:8">
      <c r="C90" s="1"/>
      <c r="H90" t="s">
        <v>184</v>
      </c>
    </row>
    <row r="91" spans="3:8">
      <c r="C91" s="1"/>
      <c r="H91" t="s">
        <v>185</v>
      </c>
    </row>
    <row r="92" spans="3:8">
      <c r="C92" s="1"/>
      <c r="H92" t="s">
        <v>186</v>
      </c>
    </row>
    <row r="93" spans="3:8">
      <c r="C93" s="1"/>
      <c r="H93" t="s">
        <v>187</v>
      </c>
    </row>
    <row r="94" spans="3:8">
      <c r="C94" s="1"/>
      <c r="H94" t="s">
        <v>188</v>
      </c>
    </row>
    <row r="95" spans="3:8">
      <c r="C95" s="1"/>
      <c r="H95" t="s">
        <v>189</v>
      </c>
    </row>
    <row r="96" spans="3:8">
      <c r="C96" s="1"/>
      <c r="H96" t="s">
        <v>190</v>
      </c>
    </row>
    <row r="97" spans="3:8">
      <c r="C97" s="1"/>
      <c r="H97" t="s">
        <v>191</v>
      </c>
    </row>
    <row r="98" spans="3:8">
      <c r="C98" s="1"/>
      <c r="H98" t="s">
        <v>192</v>
      </c>
    </row>
    <row r="99" spans="3:8">
      <c r="C99" s="1"/>
      <c r="H99" t="s">
        <v>193</v>
      </c>
    </row>
    <row r="100" spans="3:8">
      <c r="H100" t="s">
        <v>194</v>
      </c>
    </row>
    <row r="101" spans="3:8">
      <c r="H101" t="s">
        <v>195</v>
      </c>
    </row>
    <row r="102" spans="3:8">
      <c r="H102" t="s">
        <v>196</v>
      </c>
    </row>
    <row r="103" spans="3:8">
      <c r="H103" t="s">
        <v>197</v>
      </c>
    </row>
    <row r="104" spans="3:8">
      <c r="H104" t="s">
        <v>198</v>
      </c>
    </row>
    <row r="105" spans="3:8">
      <c r="H105" t="s">
        <v>199</v>
      </c>
    </row>
    <row r="106" spans="3:8">
      <c r="H106" t="s">
        <v>200</v>
      </c>
    </row>
    <row r="107" spans="3:8">
      <c r="H107" t="s">
        <v>201</v>
      </c>
    </row>
    <row r="108" spans="3:8">
      <c r="H108" t="s">
        <v>202</v>
      </c>
    </row>
    <row r="109" spans="3:8">
      <c r="H109" t="s">
        <v>203</v>
      </c>
    </row>
    <row r="110" spans="3:8">
      <c r="H110" t="s">
        <v>204</v>
      </c>
    </row>
    <row r="111" spans="3:8">
      <c r="H111" t="s">
        <v>205</v>
      </c>
    </row>
  </sheetData>
  <autoFilter ref="H1:H8" xr:uid="{F416F510-D56E-4E34-97EC-0FD739A2CADA}">
    <sortState xmlns:xlrd2="http://schemas.microsoft.com/office/spreadsheetml/2017/richdata2" ref="H2:H8">
      <sortCondition ref="H1:H8"/>
    </sortState>
  </autoFilter>
  <sortState xmlns:xlrd2="http://schemas.microsoft.com/office/spreadsheetml/2017/richdata2" ref="I2:I181">
    <sortCondition ref="I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Main Homepage</vt:lpstr>
      <vt:lpstr>Weekly Schedule</vt:lpstr>
      <vt:lpstr>Daily Schedule</vt:lpstr>
      <vt:lpstr>Goals</vt:lpstr>
      <vt:lpstr>PivotTables</vt:lpstr>
      <vt:lpstr>MasterSheet</vt:lpstr>
      <vt:lpstr>HiddenData</vt:lpstr>
      <vt:lpstr>Faculty</vt:lpstr>
      <vt:lpstr>Months</vt:lpstr>
      <vt:lpstr>Scheduled_Events</vt:lpstr>
      <vt:lpstr>SchoolYears</vt:lpstr>
      <vt:lpstr>Times</vt:lpstr>
      <vt:lpstr>TypeEvents</vt:lpstr>
      <vt:lpstr>Weekdays</vt:lpstr>
      <vt:lpstr>Years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 David</dc:creator>
  <cp:keywords/>
  <dc:description/>
  <cp:lastModifiedBy>Elly Hayakawa</cp:lastModifiedBy>
  <cp:revision/>
  <dcterms:created xsi:type="dcterms:W3CDTF">2023-11-09T01:18:14Z</dcterms:created>
  <dcterms:modified xsi:type="dcterms:W3CDTF">2023-12-31T22:36:50Z</dcterms:modified>
  <cp:category/>
  <cp:contentStatus/>
</cp:coreProperties>
</file>